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Co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$#,##0.00"/>
    <numFmt numFmtId="166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i val="1"/>
      <color rgb="007F7F7F"/>
      <sz val="8"/>
    </font>
    <font>
      <name val="Arial"/>
      <b val="1"/>
      <color rgb="00FFFFFF"/>
      <sz val="9"/>
    </font>
    <font>
      <name val="Arial"/>
      <color rgb="00595959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i val="1"/>
      <color rgb="00595959"/>
      <sz val="9"/>
    </font>
    <font>
      <name val="Arial"/>
      <b val="1"/>
      <color rgb="00FFFFFF"/>
      <sz val="12"/>
    </font>
    <font>
      <name val="Arial"/>
      <i val="1"/>
      <color rgb="00595959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594"/>
      </patternFill>
    </fill>
    <fill>
      <patternFill patternType="solid">
        <fgColor rgb="00D6E4F7"/>
      </patternFill>
    </fill>
    <fill>
      <patternFill patternType="solid">
        <fgColor rgb="00E2EFDA"/>
      </patternFill>
    </fill>
    <fill>
      <patternFill patternType="solid">
        <fgColor rgb="0059595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C9A84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center" vertical="center"/>
    </xf>
    <xf numFmtId="0" fontId="6" fillId="0" borderId="1" pivotButton="0" quotePrefix="0" xfId="0"/>
    <xf numFmtId="3" fontId="4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165" fontId="5" fillId="4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166" fontId="5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165" fontId="10" fillId="6" borderId="1" applyAlignment="1" pivotButton="0" quotePrefix="0" xfId="0">
      <alignment horizontal="center" vertical="center" wrapText="1"/>
    </xf>
    <xf numFmtId="166" fontId="11" fillId="9" borderId="1" applyAlignment="1" pivotButton="0" quotePrefix="0" xfId="0">
      <alignment horizontal="center" vertical="center" wrapText="1"/>
    </xf>
    <xf numFmtId="165" fontId="1" fillId="1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12" fillId="0" borderId="0" pivotButton="0" quotePrefix="0" xfId="0"/>
    <xf numFmtId="166" fontId="6" fillId="4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166" fontId="6" fillId="5" borderId="1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14" customWidth="1" min="4" max="4"/>
    <col width="18" customWidth="1" min="5" max="5"/>
    <col width="36" customWidth="1" min="6" max="6"/>
  </cols>
  <sheetData>
    <row r="1" ht="36" customHeight="1">
      <c r="A1" s="1" t="inlineStr">
        <is>
          <t>CABINET PROJECT — JOB COSTING FORM</t>
        </is>
      </c>
    </row>
    <row r="2" ht="18" customHeight="1">
      <c r="A2" s="2" t="inlineStr">
        <is>
          <t>Atlantic Pacific Communities — Casa Familia</t>
        </is>
      </c>
    </row>
    <row r="4" ht="22" customHeight="1">
      <c r="A4" s="3" t="inlineStr">
        <is>
          <t>A. PROJECT DETAILS</t>
        </is>
      </c>
    </row>
    <row r="5" ht="18" customHeight="1">
      <c r="A5" s="4" t="inlineStr">
        <is>
          <t>Project Name:</t>
        </is>
      </c>
      <c r="B5" s="5" t="inlineStr"/>
    </row>
    <row r="6" ht="18" customHeight="1">
      <c r="A6" s="4" t="inlineStr">
        <is>
          <t>Project ID:</t>
        </is>
      </c>
      <c r="B6" s="5" t="inlineStr"/>
    </row>
    <row r="7" ht="18" customHeight="1">
      <c r="A7" s="4" t="inlineStr">
        <is>
          <t>Date:</t>
        </is>
      </c>
      <c r="B7" s="6">
        <f>TODAY()</f>
        <v/>
      </c>
    </row>
    <row r="8" ht="18" customHeight="1">
      <c r="A8" s="4" t="inlineStr">
        <is>
          <t>Prepared By:</t>
        </is>
      </c>
      <c r="B8" s="5" t="inlineStr"/>
    </row>
    <row r="9" ht="18" customHeight="1">
      <c r="A9" s="4" t="inlineStr">
        <is>
          <t>Price List Used:</t>
        </is>
      </c>
      <c r="B9" s="5" t="inlineStr"/>
    </row>
    <row r="10" ht="18" customHeight="1">
      <c r="A10" s="4" t="inlineStr">
        <is>
          <t>Vendor:</t>
        </is>
      </c>
      <c r="B10" s="5" t="inlineStr"/>
    </row>
    <row r="12" ht="22" customHeight="1">
      <c r="A12" s="3" t="inlineStr">
        <is>
          <t>B. CABINET QUANTITIES</t>
        </is>
      </c>
    </row>
    <row r="13" ht="18" customHeight="1">
      <c r="A13" s="7" t="inlineStr">
        <is>
          <t>Total Kitchen Cabinets:</t>
        </is>
      </c>
      <c r="C13" s="8" t="n">
        <v>0</v>
      </c>
      <c r="D13" s="9" t="inlineStr">
        <is>
          <t>units</t>
        </is>
      </c>
    </row>
    <row r="14" ht="18" customHeight="1">
      <c r="A14" s="7" t="inlineStr">
        <is>
          <t>Total Bath Vanities/Cabinets:</t>
        </is>
      </c>
      <c r="C14" s="8" t="n">
        <v>0</v>
      </c>
      <c r="D14" s="9" t="inlineStr">
        <is>
          <t>units</t>
        </is>
      </c>
    </row>
    <row r="15" ht="18" customHeight="1">
      <c r="A15" s="4" t="inlineStr">
        <is>
          <t>TOTAL CABINETS:</t>
        </is>
      </c>
      <c r="C15" s="10">
        <f>C13+C14</f>
        <v/>
      </c>
      <c r="D15" s="9" t="inlineStr">
        <is>
          <t>units</t>
        </is>
      </c>
    </row>
    <row r="16" ht="14" customHeight="1">
      <c r="A16" s="11" t="inlineStr">
        <is>
          <t>Container sizing: 220 cabinets / container (update as needed)</t>
        </is>
      </c>
    </row>
    <row r="17" ht="18" customHeight="1">
      <c r="A17" s="7" t="inlineStr">
        <is>
          <t>Estimated Containers:</t>
        </is>
      </c>
      <c r="C17" s="8">
        <f>ROUNDUP(C15/220,0)</f>
        <v/>
      </c>
      <c r="D17" s="9" t="inlineStr">
        <is>
          <t>containers</t>
        </is>
      </c>
    </row>
    <row r="19" ht="22" customHeight="1">
      <c r="A19" s="3" t="inlineStr">
        <is>
          <t>C. COST BUILD-UP</t>
        </is>
      </c>
    </row>
    <row r="20" ht="20" customHeight="1">
      <c r="A20" s="12" t="inlineStr">
        <is>
          <t>#</t>
        </is>
      </c>
      <c r="B20" s="12" t="inlineStr">
        <is>
          <t>Cost Item</t>
        </is>
      </c>
      <c r="C20" s="12" t="inlineStr">
        <is>
          <t>Basis / Driver</t>
        </is>
      </c>
      <c r="D20" s="12" t="inlineStr">
        <is>
          <t>Rate</t>
        </is>
      </c>
      <c r="E20" s="12" t="inlineStr">
        <is>
          <t>Calculated ($)</t>
        </is>
      </c>
      <c r="F20" s="12" t="inlineStr">
        <is>
          <t>Notes</t>
        </is>
      </c>
    </row>
    <row r="21" ht="20" customHeight="1">
      <c r="A21" s="13" t="inlineStr">
        <is>
          <t>1</t>
        </is>
      </c>
      <c r="B21" s="14" t="inlineStr">
        <is>
          <t>Material Cost (cabinets)</t>
        </is>
      </c>
      <c r="C21" s="15" t="inlineStr">
        <is>
          <t>Invoice / Price List</t>
        </is>
      </c>
      <c r="D21" s="16" t="n"/>
      <c r="E21" s="17">
        <f>D21</f>
        <v/>
      </c>
      <c r="F21" s="18" t="inlineStr">
        <is>
          <t>Input from pricing output — blue cell</t>
        </is>
      </c>
    </row>
    <row r="22" ht="20" customHeight="1">
      <c r="A22" s="13" t="inlineStr">
        <is>
          <t>2</t>
        </is>
      </c>
      <c r="B22" s="19" t="inlineStr">
        <is>
          <t>Local Use Tax</t>
        </is>
      </c>
      <c r="C22" s="20" t="inlineStr">
        <is>
          <t>% of Material Cost</t>
        </is>
      </c>
      <c r="D22" s="21" t="n">
        <v>0.075</v>
      </c>
      <c r="E22" s="17">
        <f>D21*D22</f>
        <v/>
      </c>
      <c r="F22" s="22" t="inlineStr">
        <is>
          <t>Update rate per local jurisdiction</t>
        </is>
      </c>
    </row>
    <row r="23" ht="20" customHeight="1">
      <c r="A23" s="13" t="inlineStr">
        <is>
          <t>3</t>
        </is>
      </c>
      <c r="B23" s="14" t="inlineStr">
        <is>
          <t>Ocean Freight / Shipping</t>
        </is>
      </c>
      <c r="C23" s="15" t="inlineStr">
        <is>
          <t>Per Container</t>
        </is>
      </c>
      <c r="D23" s="16" t="n">
        <v>4500</v>
      </c>
      <c r="E23" s="17">
        <f>C17*D23</f>
        <v/>
      </c>
      <c r="F23" s="18" t="inlineStr">
        <is>
          <t>$ per container — update to actual quote</t>
        </is>
      </c>
    </row>
    <row r="24" ht="20" customHeight="1">
      <c r="A24" s="13" t="inlineStr">
        <is>
          <t>4</t>
        </is>
      </c>
      <c r="B24" s="19" t="inlineStr">
        <is>
          <t>Inland Delivery</t>
        </is>
      </c>
      <c r="C24" s="20" t="inlineStr">
        <is>
          <t>Fixed per Project</t>
        </is>
      </c>
      <c r="D24" s="16" t="n">
        <v>1200</v>
      </c>
      <c r="E24" s="17">
        <f>D24</f>
        <v/>
      </c>
      <c r="F24" s="22" t="inlineStr">
        <is>
          <t>Warehouse to job site</t>
        </is>
      </c>
    </row>
    <row r="25" ht="20" customHeight="1">
      <c r="A25" s="13" t="inlineStr">
        <is>
          <t>5</t>
        </is>
      </c>
      <c r="B25" s="14" t="inlineStr">
        <is>
          <t>Installation</t>
        </is>
      </c>
      <c r="C25" s="15" t="inlineStr">
        <is>
          <t>Per Cabinet Installed</t>
        </is>
      </c>
      <c r="D25" s="16" t="n">
        <v>85</v>
      </c>
      <c r="E25" s="17">
        <f>C15*D25</f>
        <v/>
      </c>
      <c r="F25" s="18" t="inlineStr">
        <is>
          <t>$ per cabinet — update to actual rate</t>
        </is>
      </c>
    </row>
    <row r="26" ht="20" customHeight="1">
      <c r="A26" s="13" t="inlineStr">
        <is>
          <t>6</t>
        </is>
      </c>
      <c r="B26" s="19" t="inlineStr">
        <is>
          <t>Warehousing</t>
        </is>
      </c>
      <c r="C26" s="20" t="inlineStr">
        <is>
          <t>% of Material Cost</t>
        </is>
      </c>
      <c r="D26" s="21" t="n">
        <v>0.02</v>
      </c>
      <c r="E26" s="17">
        <f>D21*D26</f>
        <v/>
      </c>
      <c r="F26" s="22" t="inlineStr">
        <is>
          <t>Storage at your warehouse</t>
        </is>
      </c>
    </row>
    <row r="27" ht="20" customHeight="1">
      <c r="A27" s="13" t="inlineStr">
        <is>
          <t>7</t>
        </is>
      </c>
      <c r="B27" s="14" t="inlineStr">
        <is>
          <t>Material Protection</t>
        </is>
      </c>
      <c r="C27" s="15" t="inlineStr">
        <is>
          <t>% of Material Cost</t>
        </is>
      </c>
      <c r="D27" s="21" t="n">
        <v>0.005</v>
      </c>
      <c r="E27" s="17">
        <f>D21*D27</f>
        <v/>
      </c>
      <c r="F27" s="18" t="inlineStr">
        <is>
          <t>Wrap, pads, protection on-site</t>
        </is>
      </c>
    </row>
    <row r="28" ht="20" customHeight="1">
      <c r="A28" s="13" t="inlineStr">
        <is>
          <t>8</t>
        </is>
      </c>
      <c r="B28" s="19" t="inlineStr">
        <is>
          <t>Insurance</t>
        </is>
      </c>
      <c r="C28" s="20" t="inlineStr">
        <is>
          <t>% of Material Cost</t>
        </is>
      </c>
      <c r="D28" s="21" t="n">
        <v>0.008</v>
      </c>
      <c r="E28" s="17">
        <f>D21*D28</f>
        <v/>
      </c>
      <c r="F28" s="22" t="inlineStr">
        <is>
          <t>Builder's risk / cargo insurance</t>
        </is>
      </c>
    </row>
    <row r="29" ht="20" customHeight="1">
      <c r="A29" s="13" t="inlineStr">
        <is>
          <t>9</t>
        </is>
      </c>
      <c r="B29" s="14" t="inlineStr">
        <is>
          <t>Miscellaneous Allowance</t>
        </is>
      </c>
      <c r="C29" s="15" t="inlineStr">
        <is>
          <t>Fixed</t>
        </is>
      </c>
      <c r="D29" s="16" t="n">
        <v>500</v>
      </c>
      <c r="E29" s="17">
        <f>D29</f>
        <v/>
      </c>
      <c r="F29" s="18" t="inlineStr">
        <is>
          <t>Punch list, small items</t>
        </is>
      </c>
    </row>
    <row r="31" ht="22" customHeight="1">
      <c r="A31" s="23" t="inlineStr">
        <is>
          <t>PRE-MARGIN SUBTOTAL (Rows 1–9)</t>
        </is>
      </c>
      <c r="E31" s="24">
        <f>SUM(E21:E29)</f>
        <v/>
      </c>
    </row>
    <row r="33" ht="22" customHeight="1">
      <c r="A33" s="3" t="inlineStr">
        <is>
          <t>D. MARGIN &amp; OVERHEAD</t>
        </is>
      </c>
    </row>
    <row r="34" ht="20" customHeight="1">
      <c r="A34" s="12" t="inlineStr">
        <is>
          <t>#</t>
        </is>
      </c>
      <c r="B34" s="12" t="inlineStr">
        <is>
          <t>Item</t>
        </is>
      </c>
      <c r="C34" s="12" t="inlineStr">
        <is>
          <t>Basis</t>
        </is>
      </c>
      <c r="D34" s="12" t="inlineStr">
        <is>
          <t>Rate</t>
        </is>
      </c>
      <c r="E34" s="12" t="inlineStr">
        <is>
          <t>Calculated ($)</t>
        </is>
      </c>
      <c r="F34" s="12" t="inlineStr">
        <is>
          <t>Notes</t>
        </is>
      </c>
    </row>
    <row r="35" ht="20" customHeight="1">
      <c r="A35" s="13" t="inlineStr">
        <is>
          <t>10</t>
        </is>
      </c>
      <c r="B35" s="14" t="inlineStr">
        <is>
          <t>Commission</t>
        </is>
      </c>
      <c r="C35" s="15" t="inlineStr">
        <is>
          <t>% of Selling Price</t>
        </is>
      </c>
      <c r="D35" s="21" t="n">
        <v>0.05</v>
      </c>
      <c r="E35" s="17">
        <f>F38*D35</f>
        <v/>
      </c>
      <c r="F35" s="18" t="inlineStr">
        <is>
          <t>Sales commission</t>
        </is>
      </c>
    </row>
    <row r="36" ht="20" customHeight="1">
      <c r="A36" s="13" t="inlineStr">
        <is>
          <t>11</t>
        </is>
      </c>
      <c r="B36" s="19" t="inlineStr">
        <is>
          <t>Bond</t>
        </is>
      </c>
      <c r="C36" s="20" t="inlineStr">
        <is>
          <t>% of Selling Price</t>
        </is>
      </c>
      <c r="D36" s="21" t="n">
        <v>0.015</v>
      </c>
      <c r="E36" s="17">
        <f>F38*D36</f>
        <v/>
      </c>
      <c r="F36" s="22" t="inlineStr">
        <is>
          <t>Performance / payment bond</t>
        </is>
      </c>
    </row>
    <row r="37" ht="20" customHeight="1">
      <c r="A37" s="13" t="inlineStr">
        <is>
          <t>12</t>
        </is>
      </c>
      <c r="B37" s="14" t="inlineStr">
        <is>
          <t>Gross Profit</t>
        </is>
      </c>
      <c r="C37" s="15" t="inlineStr">
        <is>
          <t>% of Selling Price</t>
        </is>
      </c>
      <c r="D37" s="25" t="n">
        <v>0.35</v>
      </c>
      <c r="E37" s="17">
        <f>F38*D37</f>
        <v/>
      </c>
      <c r="F37" s="18" t="inlineStr">
        <is>
          <t>Set GP% below in Section E</t>
        </is>
      </c>
    </row>
    <row r="38">
      <c r="F38" s="26">
        <f>IF(1-D37-D35-D36&lt;=0,"ERROR: rates exceed 100%",E31/(1-D37-D35-D36))</f>
        <v/>
      </c>
    </row>
    <row r="39" ht="22" customHeight="1">
      <c r="A39" s="3" t="inlineStr">
        <is>
          <t>E. SELLING PRICE CALCULATION</t>
        </is>
      </c>
    </row>
    <row r="40" ht="18" customHeight="1">
      <c r="A40" s="27" t="inlineStr">
        <is>
          <t>Selling Price Formula:</t>
        </is>
      </c>
      <c r="B40" s="28">
        <f> Pre-Margin Cost ÷ (1 − GP% − Commission% − Bond%)</f>
        <v/>
      </c>
    </row>
    <row r="41" ht="18" customHeight="1">
      <c r="A41" s="27" t="inlineStr">
        <is>
          <t>Pre-Margin Cost:</t>
        </is>
      </c>
      <c r="B41" s="17">
        <f>E31</f>
        <v/>
      </c>
    </row>
    <row r="42" ht="18" customHeight="1">
      <c r="A42" s="27" t="inlineStr">
        <is>
          <t>GP Target %:</t>
        </is>
      </c>
      <c r="B42" s="29">
        <f>D37</f>
        <v/>
      </c>
    </row>
    <row r="43" ht="18" customHeight="1">
      <c r="A43" s="27" t="inlineStr">
        <is>
          <t>Commission %:</t>
        </is>
      </c>
      <c r="B43" s="29">
        <f>D35</f>
        <v/>
      </c>
    </row>
    <row r="44" ht="18" customHeight="1">
      <c r="A44" s="27" t="inlineStr">
        <is>
          <t>Bond %:</t>
        </is>
      </c>
      <c r="B44" s="29">
        <f>D36</f>
        <v/>
      </c>
    </row>
    <row r="46" ht="32" customHeight="1">
      <c r="A46" s="30" t="inlineStr">
        <is>
          <t>SELLING PRICE (TOTAL PROJECT):</t>
        </is>
      </c>
      <c r="C46" s="26">
        <f>F38</f>
        <v/>
      </c>
      <c r="D46" s="31" t="n"/>
      <c r="E46" s="31" t="n"/>
      <c r="F46" s="32" t="n"/>
    </row>
    <row r="48" ht="22" customHeight="1">
      <c r="A48" s="3" t="inlineStr">
        <is>
          <t>VERIFICATION</t>
        </is>
      </c>
    </row>
    <row r="49" ht="18" customHeight="1">
      <c r="A49" s="33" t="inlineStr">
        <is>
          <t>Gross Profit $:</t>
        </is>
      </c>
      <c r="E49" s="17">
        <f>C46*D37</f>
        <v/>
      </c>
    </row>
    <row r="50" ht="18" customHeight="1">
      <c r="A50" s="34" t="inlineStr">
        <is>
          <t>Gross Profit %:</t>
        </is>
      </c>
      <c r="E50" s="35">
        <f>IF(C46&gt;0,E49/C46,0)</f>
        <v/>
      </c>
    </row>
    <row r="51" ht="18" customHeight="1">
      <c r="A51" s="33" t="inlineStr">
        <is>
          <t>Total Cost $:</t>
        </is>
      </c>
      <c r="E51" s="17">
        <f>C46-E49</f>
        <v/>
      </c>
    </row>
    <row r="52" ht="18" customHeight="1">
      <c r="A52" s="34" t="inlineStr">
        <is>
          <t>Cost % of SP:</t>
        </is>
      </c>
      <c r="E52" s="35">
        <f>IF(C46&gt;0,E51/C46,0)</f>
        <v/>
      </c>
    </row>
    <row r="53" ht="18" customHeight="1">
      <c r="A53" s="33" t="inlineStr">
        <is>
          <t>Commission $:</t>
        </is>
      </c>
      <c r="E53" s="17">
        <f>E35</f>
        <v/>
      </c>
    </row>
    <row r="54" ht="18" customHeight="1">
      <c r="A54" s="34" t="inlineStr">
        <is>
          <t>Bond $:</t>
        </is>
      </c>
      <c r="E54" s="17">
        <f>E36</f>
        <v/>
      </c>
    </row>
    <row r="55" ht="18" customHeight="1">
      <c r="A55" s="33" t="inlineStr">
        <is>
          <t>Cost per Cabinet:</t>
        </is>
      </c>
      <c r="E55" s="17">
        <f>IF(C15&gt;0,E51/C15,0)</f>
        <v/>
      </c>
    </row>
    <row r="56" ht="18" customHeight="1">
      <c r="A56" s="34" t="inlineStr">
        <is>
          <t>Sell per Cabinet:</t>
        </is>
      </c>
      <c r="E56" s="17">
        <f>IF(C15&gt;0,C46/C15,0)</f>
        <v/>
      </c>
    </row>
    <row r="58" ht="14" customHeight="1">
      <c r="A58" s="36" t="inlineStr">
        <is>
          <t>COLOR KEY:   Blue = Input cell (you enter)     |     Black = Formula (auto-calculated)     |     Green = Calculated result     |     Gold = Final output</t>
        </is>
      </c>
    </row>
  </sheetData>
  <mergeCells count="13">
    <mergeCell ref="A2:F2"/>
    <mergeCell ref="A33:F33"/>
    <mergeCell ref="A31:D31"/>
    <mergeCell ref="A19:F19"/>
    <mergeCell ref="A1:F1"/>
    <mergeCell ref="A46:B46"/>
    <mergeCell ref="C46:F46"/>
    <mergeCell ref="A58:F58"/>
    <mergeCell ref="A12:F12"/>
    <mergeCell ref="A4:F4"/>
    <mergeCell ref="B40:C40"/>
    <mergeCell ref="A39:F39"/>
    <mergeCell ref="A48:F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2026-06-10T03:50:45Z</dcterms:created>
  <dcterms:modified xmlns:dcterms="http://purl.org/dc/terms/" xmlns:xsi="http://www.w3.org/2001/XMLSchema-instance" xsi:type="dcterms:W3CDTF">2026-06-10T03:50:45Z</dcterms:modified>
</cp:coreProperties>
</file>