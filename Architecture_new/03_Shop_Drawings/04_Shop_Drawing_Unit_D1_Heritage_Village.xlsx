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p Drawing — D-1" sheetId="1" state="visible" r:id="rId3"/>
    <sheet name="Project Matrix" sheetId="2" state="visible" r:id="rId4"/>
    <sheet name="Job Costing — D-1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<sst xmlns="http://schemas.openxmlformats.org/spreadsheetml/2006/main" count="306" uniqueCount="187">
  <si>
    <t xml:space="preserve">CABINET SHOP DRAWING — UNIT SCHEDULE</t>
  </si>
  <si>
    <t xml:space="preserve">Atlantic Pacific Communities  |  Corwil Architects</t>
  </si>
  <si>
    <t xml:space="preserve">PROJECT:</t>
  </si>
  <si>
    <t xml:space="preserve">Heritage Village</t>
  </si>
  <si>
    <t xml:space="preserve">UNIT TYPE:</t>
  </si>
  <si>
    <t xml:space="preserve">D-1</t>
  </si>
  <si>
    <t xml:space="preserve">DATE:</t>
  </si>
  <si>
    <t xml:space="preserve">2025-06-10</t>
  </si>
  <si>
    <t xml:space="preserve">ADDRESS:</t>
  </si>
  <si>
    <t xml:space="preserve">26905 SW 142nd Ave</t>
  </si>
  <si>
    <t xml:space="preserve">DESCRIPTION:</t>
  </si>
  <si>
    <t xml:space="preserve">4-Bedroom / 2-Bath — FHA Type B</t>
  </si>
  <si>
    <t xml:space="preserve">PREPARED BY:</t>
  </si>
  <si>
    <t xml:space="preserve">AI Estimation System — Atlantic Pacific Communities</t>
  </si>
  <si>
    <t xml:space="preserve">DRAWING REF:</t>
  </si>
  <si>
    <t xml:space="preserve">A-6.08 (Rev. 17, dated 5/16/2025)</t>
  </si>
  <si>
    <t xml:space="preserve">FINISH TIER:</t>
  </si>
  <si>
    <t xml:space="preserve">Standard 1</t>
  </si>
  <si>
    <t xml:space="preserve">ARCHITECT:</t>
  </si>
  <si>
    <t xml:space="preserve">Corwil Architects Inc.</t>
  </si>
  <si>
    <t xml:space="preserve">⚠  FHA TYPE B UNIT — D-PULL TYPE HANDLES TYP. ALL CABINETS (per keynote drawing A-6.08)  |  Accessible units: 34" max counter height, 24" max deep countertop</t>
  </si>
  <si>
    <t xml:space="preserve">SECTION 1 — KITCHEN CABINETS</t>
  </si>
  <si>
    <t xml:space="preserve">Kitchen layout per Elevations 1 &amp; 2 (A-6.08) | Total run approx. 13'-5" | Granite countertop 36"H (34" max at accessible units) | Backsplash keynote U44</t>
  </si>
  <si>
    <t xml:space="preserve">Item</t>
  </si>
  <si>
    <t xml:space="preserve">Cabinet Code</t>
  </si>
  <si>
    <t xml:space="preserve">Description</t>
  </si>
  <si>
    <t xml:space="preserve">Type</t>
  </si>
  <si>
    <t xml:space="preserve">W (in)</t>
  </si>
  <si>
    <t xml:space="preserve">H (in)</t>
  </si>
  <si>
    <t xml:space="preserve">D (in)</t>
  </si>
  <si>
    <t xml:space="preserve">Qty</t>
  </si>
  <si>
    <t xml:space="preserve">Finish Tier</t>
  </si>
  <si>
    <t xml:space="preserve">Elevation Ref.</t>
  </si>
  <si>
    <t xml:space="preserve">Location Note</t>
  </si>
  <si>
    <t xml:space="preserve">W-3630</t>
  </si>
  <si>
    <t xml:space="preserve">Wall Cabinet — 36"W x 30"H x 12"D</t>
  </si>
  <si>
    <t xml:space="preserve">Upper</t>
  </si>
  <si>
    <t xml:space="preserve">Std 1</t>
  </si>
  <si>
    <t xml:space="preserve">Elev.1</t>
  </si>
  <si>
    <t xml:space="preserve">Elev.1 — Left of range, full height upper run</t>
  </si>
  <si>
    <t xml:space="preserve">Elev.1 — Right of range</t>
  </si>
  <si>
    <t xml:space="preserve">W-3030</t>
  </si>
  <si>
    <t xml:space="preserve">Wall Cabinet — 30"W x 30"H x 12"D</t>
  </si>
  <si>
    <t xml:space="preserve">Elev.1 — End upper cabinet</t>
  </si>
  <si>
    <t xml:space="preserve">W-MWO</t>
  </si>
  <si>
    <t xml:space="preserve">Microwave Cabinet/Shelf (above range)</t>
  </si>
  <si>
    <t xml:space="preserve">Elev.1 — Microwave above range U3</t>
  </si>
  <si>
    <t xml:space="preserve">Elev.2 — Upper run, sink wall</t>
  </si>
  <si>
    <t xml:space="preserve">Elev.2 — Upper end cabinet</t>
  </si>
  <si>
    <t xml:space="preserve">W-REF</t>
  </si>
  <si>
    <t xml:space="preserve">Refrigerator Panel/Surround Cabinet</t>
  </si>
  <si>
    <t xml:space="preserve">Side panel next to REF — keynote U46</t>
  </si>
  <si>
    <t xml:space="preserve">B-36</t>
  </si>
  <si>
    <t xml:space="preserve">Base Cabinet — 36"W x 34½"H x 24"D</t>
  </si>
  <si>
    <t xml:space="preserve">Lower</t>
  </si>
  <si>
    <t xml:space="preserve">Elev.2</t>
  </si>
  <si>
    <t xml:space="preserve">Elev.1 — Left base</t>
  </si>
  <si>
    <t xml:space="preserve">Elev.1 — Center base</t>
  </si>
  <si>
    <t xml:space="preserve">B-30-DW</t>
  </si>
  <si>
    <t xml:space="preserve">Base Cabinet (D/W side) 30"W x 34½"H</t>
  </si>
  <si>
    <t xml:space="preserve">Elev.1 — Dishwasher adjacent base</t>
  </si>
  <si>
    <t xml:space="preserve">B-SINK</t>
  </si>
  <si>
    <t xml:space="preserve">Sink Base 36"W x 34½"H x 24"D</t>
  </si>
  <si>
    <t xml:space="preserve">Elev.2 — Under sink U9 (undermount double)</t>
  </si>
  <si>
    <t xml:space="preserve">Elev.2 — Right of sink</t>
  </si>
  <si>
    <t xml:space="preserve">B-24</t>
  </si>
  <si>
    <t xml:space="preserve">Base Cabinet — 24"W x 34½"H x 24"D</t>
  </si>
  <si>
    <t xml:space="preserve">Elev.2 — End base</t>
  </si>
  <si>
    <t xml:space="preserve">T-PANT</t>
  </si>
  <si>
    <t xml:space="preserve">Pantry Cabinet 15"W x 24"D (U13)</t>
  </si>
  <si>
    <t xml:space="preserve">Tall</t>
  </si>
  <si>
    <t xml:space="preserve">Keynote U13 — 15"W pantry w/false back</t>
  </si>
  <si>
    <t xml:space="preserve">B-RO</t>
  </si>
  <si>
    <t xml:space="preserve">Roll-Out Drawer Base (U45)</t>
  </si>
  <si>
    <t xml:space="preserve">Roll-out drawer/shelf keynote U45</t>
  </si>
  <si>
    <t xml:space="preserve">KITCHEN SUBTOTALS</t>
  </si>
  <si>
    <t xml:space="preserve">Upper: 7</t>
  </si>
  <si>
    <t xml:space="preserve">Lower: 7</t>
  </si>
  <si>
    <t xml:space="preserve">Tall: 1</t>
  </si>
  <si>
    <t xml:space="preserve">Total Kitchen: 15</t>
  </si>
  <si>
    <t xml:space="preserve">SECTION 2 — BATHROOM VANITY CABINETS</t>
  </si>
  <si>
    <t xml:space="preserve">M.Bathroom per Elevations 3, 4, 5 (A-6.08) | 34"H granite counter (U25) | Mirror full-width (U28) | Linen cabinet depth to match vanity (U11)</t>
  </si>
  <si>
    <t xml:space="preserve">VAN-60</t>
  </si>
  <si>
    <t xml:space="preserve">Vanity Cabinet 60"W x 34½"H x 21"D</t>
  </si>
  <si>
    <t xml:space="preserve">M.Bath</t>
  </si>
  <si>
    <t xml:space="preserve">Elev.3/5</t>
  </si>
  <si>
    <t xml:space="preserve">Elev.3&amp;5 — Full-width vanity U27, double sink</t>
  </si>
  <si>
    <t xml:space="preserve">MED-60</t>
  </si>
  <si>
    <t xml:space="preserve">Vanity Mirror full-width (U28)</t>
  </si>
  <si>
    <t xml:space="preserve">Mirror width to match vanity U28</t>
  </si>
  <si>
    <t xml:space="preserve">VAN-36</t>
  </si>
  <si>
    <t xml:space="preserve">Vanity Cabinet 36"W x 34½"H x 21"D</t>
  </si>
  <si>
    <t xml:space="preserve">Bath 2</t>
  </si>
  <si>
    <t xml:space="preserve">Floor Plan</t>
  </si>
  <si>
    <t xml:space="preserve">Second bath — single sink U27</t>
  </si>
  <si>
    <t xml:space="preserve">MED-36</t>
  </si>
  <si>
    <t xml:space="preserve">Vanity Mirror 36"W (U28)</t>
  </si>
  <si>
    <t xml:space="preserve">Mirror to match vanity width U28</t>
  </si>
  <si>
    <t xml:space="preserve">LIN-18</t>
  </si>
  <si>
    <t xml:space="preserve">Linen Cabinet 18"W x 84"H — (U11)</t>
  </si>
  <si>
    <t xml:space="preserve">Linen cab depth to match vanity U11</t>
  </si>
  <si>
    <t xml:space="preserve">BATHROOM SUBTOTALS</t>
  </si>
  <si>
    <t xml:space="preserve">M.Bath: 3</t>
  </si>
  <si>
    <t xml:space="preserve">Bath 2: 2</t>
  </si>
  <si>
    <t xml:space="preserve">Total Bath: 5</t>
  </si>
  <si>
    <t xml:space="preserve">UNIT D-1 GRAND TOTAL CABINET COUNT</t>
  </si>
  <si>
    <t xml:space="preserve">Upper Cabinets (Kitchen):</t>
  </si>
  <si>
    <t xml:space="preserve">Lower/Base Cabinets (Kitchen):</t>
  </si>
  <si>
    <t xml:space="preserve">Tall/Pantry Cabinets:</t>
  </si>
  <si>
    <t xml:space="preserve">M.Bathroom Cabinets:</t>
  </si>
  <si>
    <t xml:space="preserve">Bath 2 Cabinets:</t>
  </si>
  <si>
    <t xml:space="preserve">★  UNIT D-1 TOTAL CABINET COUNT:</t>
  </si>
  <si>
    <t xml:space="preserve">HERITAGE VILLAGE — PROJECT CABINET MATRIX (ALL UNITS)</t>
  </si>
  <si>
    <t xml:space="preserve">Based on architectural drawings — unit types and quantities to be confirmed per complete drawing set</t>
  </si>
  <si>
    <t xml:space="preserve">Unit Type</t>
  </si>
  <si>
    <t xml:space="preserve">Qty in Project</t>
  </si>
  <si>
    <t xml:space="preserve">Kitchen Upper</t>
  </si>
  <si>
    <t xml:space="preserve">Kitchen Lower</t>
  </si>
  <si>
    <t xml:space="preserve">Kitchen Tall</t>
  </si>
  <si>
    <t xml:space="preserve">Kitchen Total</t>
  </si>
  <si>
    <t xml:space="preserve">Bath Cabinets</t>
  </si>
  <si>
    <t xml:space="preserve">Unit Total</t>
  </si>
  <si>
    <t xml:space="preserve">Project Kitchen Total</t>
  </si>
  <si>
    <t xml:space="preserve">Project Bath Total</t>
  </si>
  <si>
    <t xml:space="preserve">4BR/2Bath FHA Type B</t>
  </si>
  <si>
    <t xml:space="preserve">CONFIRMED — from A-6.08</t>
  </si>
  <si>
    <t xml:space="preserve">A-1</t>
  </si>
  <si>
    <t xml:space="preserve">1BR/1Bath</t>
  </si>
  <si>
    <t xml:space="preserve">?</t>
  </si>
  <si>
    <t xml:space="preserve">Pending</t>
  </si>
  <si>
    <t xml:space="preserve">Pending drawings</t>
  </si>
  <si>
    <t xml:space="preserve">B-1</t>
  </si>
  <si>
    <t xml:space="preserve">2BR/2Bath</t>
  </si>
  <si>
    <t xml:space="preserve">C-1</t>
  </si>
  <si>
    <t xml:space="preserve">3BR/2Bath</t>
  </si>
  <si>
    <t xml:space="preserve">JOB COSTING — UNIT D-1 SAMPLE OUTPUT</t>
  </si>
  <si>
    <t xml:space="preserve">Heritage Village  |  Unit D-1  |  Standard 1 Finish  |  Price List: MS_LEVEL_1_90CM  |  GP Target: 35%</t>
  </si>
  <si>
    <t xml:space="preserve">Category</t>
  </si>
  <si>
    <t xml:space="preserve">Line Item</t>
  </si>
  <si>
    <t xml:space="preserve">Basis / Driver</t>
  </si>
  <si>
    <t xml:space="preserve">Rate</t>
  </si>
  <si>
    <t xml:space="preserve">Amount ($)</t>
  </si>
  <si>
    <t xml:space="preserve">Notes</t>
  </si>
  <si>
    <t xml:space="preserve">A. QUANTITIES</t>
  </si>
  <si>
    <t xml:space="preserve">Kitchen Cabinets</t>
  </si>
  <si>
    <t xml:space="preserve">7 upper + 7 lower + 1 tall</t>
  </si>
  <si>
    <t xml:space="preserve">units</t>
  </si>
  <si>
    <t xml:space="preserve">3 M.Bath + 2 Bath 2</t>
  </si>
  <si>
    <t xml:space="preserve">TOTAL CABINETS</t>
  </si>
  <si>
    <t xml:space="preserve">Containers</t>
  </si>
  <si>
    <t xml:space="preserve">220 cabinets per container</t>
  </si>
  <si>
    <t xml:space="preserve">containers (estimate)</t>
  </si>
  <si>
    <t xml:space="preserve">B. MATERIAL COST</t>
  </si>
  <si>
    <t xml:space="preserve">Avg. unit price Std.1</t>
  </si>
  <si>
    <t xml:space="preserve">USD</t>
  </si>
  <si>
    <t xml:space="preserve">MATERIAL SUBTOTAL</t>
  </si>
  <si>
    <t xml:space="preserve">C. PROJECT COSTS</t>
  </si>
  <si>
    <t xml:space="preserve">Local Use Tax</t>
  </si>
  <si>
    <t xml:space="preserve">7.5% of material</t>
  </si>
  <si>
    <t xml:space="preserve">Ocean Freight</t>
  </si>
  <si>
    <t xml:space="preserve">$4,500 / container</t>
  </si>
  <si>
    <t xml:space="preserve">Inland Delivery</t>
  </si>
  <si>
    <t xml:space="preserve">Fixed</t>
  </si>
  <si>
    <t xml:space="preserve">Installation</t>
  </si>
  <si>
    <t xml:space="preserve">$85 / cabinet</t>
  </si>
  <si>
    <t xml:space="preserve">Warehousing</t>
  </si>
  <si>
    <t xml:space="preserve">2% of material</t>
  </si>
  <si>
    <t xml:space="preserve">Protection</t>
  </si>
  <si>
    <t xml:space="preserve">0.5% of material</t>
  </si>
  <si>
    <t xml:space="preserve">Insurance</t>
  </si>
  <si>
    <t xml:space="preserve">0.8% of material</t>
  </si>
  <si>
    <t xml:space="preserve">Misc. Allowance</t>
  </si>
  <si>
    <t xml:space="preserve">D. MARGIN</t>
  </si>
  <si>
    <t xml:space="preserve">Commission</t>
  </si>
  <si>
    <t xml:space="preserve">5% of selling price</t>
  </si>
  <si>
    <t xml:space="preserve">Calculated below</t>
  </si>
  <si>
    <t xml:space="preserve">Bond</t>
  </si>
  <si>
    <t xml:space="preserve">1.5% of selling price</t>
  </si>
  <si>
    <t xml:space="preserve">Gross Profit</t>
  </si>
  <si>
    <t xml:space="preserve">35% target</t>
  </si>
  <si>
    <t xml:space="preserve">PRE-MARGIN SUBTOTAL</t>
  </si>
  <si>
    <t xml:space="preserve">COMMISSION (5%)</t>
  </si>
  <si>
    <t xml:space="preserve">BOND (1.5%)</t>
  </si>
  <si>
    <t xml:space="preserve">TOTAL COST</t>
  </si>
  <si>
    <t xml:space="preserve">GROSS PROFIT (35%)</t>
  </si>
  <si>
    <t xml:space="preserve">★  SELLING PRICE — UNIT D-1 (1 unit sample)</t>
  </si>
  <si>
    <t xml:space="preserve">GP: 35% | 20 cabinets | $1,009/cabinet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</si>
</sst>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&quot;"/>
    <numFmt numFmtId="166" formatCode="#,##0"/>
    <numFmt numFmtId="167" formatCode="\$#,##0.00"/>
    <numFmt numFmtId="168" formatCode="0.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7B3F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2E5594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b val="true"/>
      <sz val="10"/>
      <color rgb="FF4A148C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008000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0000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2E5594"/>
      </patternFill>
    </fill>
    <fill>
      <patternFill patternType="solid">
        <fgColor rgb="FFF2F2F2"/>
        <bgColor rgb="FFE8F5E9"/>
      </patternFill>
    </fill>
    <fill>
      <patternFill patternType="solid">
        <fgColor rgb="FFD6E4F7"/>
        <bgColor rgb="FFEDE7F6"/>
      </patternFill>
    </fill>
    <fill>
      <patternFill patternType="solid">
        <fgColor rgb="FFFFF2CC"/>
        <bgColor rgb="FFF2F2F2"/>
      </patternFill>
    </fill>
    <fill>
      <patternFill patternType="solid">
        <fgColor rgb="FF2E5594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E8F5E9"/>
      </patternFill>
    </fill>
    <fill>
      <patternFill patternType="solid">
        <fgColor rgb="FFC9A84C"/>
        <bgColor rgb="FFFF9900"/>
      </patternFill>
    </fill>
    <fill>
      <patternFill patternType="solid">
        <fgColor rgb="FFEDE7F6"/>
        <bgColor rgb="FFF2F2F2"/>
      </patternFill>
    </fill>
    <fill>
      <patternFill patternType="solid">
        <fgColor rgb="FFE8F5E9"/>
        <bgColor rgb="FFF2F2F2"/>
      </patternFill>
    </fill>
    <fill>
      <patternFill patternType="solid">
        <fgColor rgb="FF595959"/>
        <bgColor rgb="FF2E559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4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8F5E9"/>
      <rgbColor rgb="FF4A148C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DE7F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C9A84C"/>
      <rgbColor rgb="FF1F3864"/>
      <rgbColor rgb="FF339966"/>
      <rgbColor rgb="FF003300"/>
      <rgbColor rgb="FF333300"/>
      <rgbColor rgb="FF7B3F00"/>
      <rgbColor rgb="FF993366"/>
      <rgbColor rgb="FF2E5594"/>
      <rgbColor rgb="FF1B5E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10"/>
    <col collapsed="false" customWidth="true" hidden="false" outlineLevel="0" max="7" min="5" style="0" width="9"/>
    <col collapsed="false" customWidth="true" hidden="false" outlineLevel="0" max="8" min="8" style="0" width="6"/>
    <col collapsed="false" customWidth="true" hidden="false" outlineLevel="0" max="10" min="9" style="0" width="12"/>
    <col collapsed="false" customWidth="true" hidden="false" outlineLevel="0" max="11" min="11" style="0" width="42"/>
    <col collapsed="false" customWidth="true" hidden="false" outlineLevel="0" max="12" min="12" style="0" width="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8" hidden="false" customHeight="true" outlineLevel="0" collapsed="false">
      <c r="A4" s="3" t="s">
        <v>2</v>
      </c>
      <c r="B4" s="4" t="s">
        <v>3</v>
      </c>
      <c r="E4" s="3" t="s">
        <v>4</v>
      </c>
      <c r="F4" s="4" t="s">
        <v>5</v>
      </c>
      <c r="I4" s="3" t="s">
        <v>6</v>
      </c>
      <c r="J4" s="4" t="s">
        <v>7</v>
      </c>
    </row>
    <row r="5" customFormat="false" ht="18" hidden="false" customHeight="true" outlineLevel="0" collapsed="false">
      <c r="A5" s="3" t="s">
        <v>8</v>
      </c>
      <c r="B5" s="4" t="s">
        <v>9</v>
      </c>
      <c r="E5" s="3" t="s">
        <v>10</v>
      </c>
      <c r="F5" s="4" t="s">
        <v>11</v>
      </c>
      <c r="I5" s="3" t="s">
        <v>12</v>
      </c>
      <c r="J5" s="4" t="s">
        <v>13</v>
      </c>
    </row>
    <row r="6" customFormat="false" ht="18" hidden="false" customHeight="true" outlineLevel="0" collapsed="false">
      <c r="A6" s="3" t="s">
        <v>14</v>
      </c>
      <c r="B6" s="4" t="s">
        <v>15</v>
      </c>
      <c r="E6" s="3" t="s">
        <v>16</v>
      </c>
      <c r="F6" s="4" t="s">
        <v>17</v>
      </c>
      <c r="I6" s="3" t="s">
        <v>18</v>
      </c>
      <c r="J6" s="4" t="s">
        <v>19</v>
      </c>
    </row>
    <row r="7" customFormat="false" ht="18" hidden="false" customHeight="true" outlineLevel="0" collapsed="false">
      <c r="A7" s="5" t="s">
        <v>20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9" customFormat="false" ht="24" hidden="false" customHeight="true" outlineLevel="0" collapsed="false">
      <c r="A9" s="6" t="s">
        <v>21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customFormat="false" ht="15.75" hidden="false" customHeight="true" outlineLevel="0" collapsed="false">
      <c r="A10" s="7" t="s">
        <v>22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customFormat="false" ht="21.75" hidden="false" customHeight="true" outlineLevel="0" collapsed="false">
      <c r="A11" s="8" t="s">
        <v>23</v>
      </c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H11" s="8" t="s">
        <v>30</v>
      </c>
      <c r="I11" s="8" t="s">
        <v>31</v>
      </c>
      <c r="J11" s="8" t="s">
        <v>32</v>
      </c>
      <c r="K11" s="8" t="s">
        <v>33</v>
      </c>
      <c r="L11" s="8"/>
    </row>
    <row r="12" customFormat="false" ht="19.5" hidden="false" customHeight="true" outlineLevel="0" collapsed="false">
      <c r="A12" s="9" t="n">
        <v>1</v>
      </c>
      <c r="B12" s="10" t="s">
        <v>34</v>
      </c>
      <c r="C12" s="11" t="s">
        <v>35</v>
      </c>
      <c r="D12" s="12" t="s">
        <v>36</v>
      </c>
      <c r="E12" s="13" t="n">
        <v>36</v>
      </c>
      <c r="F12" s="13" t="n">
        <v>30</v>
      </c>
      <c r="G12" s="13" t="n">
        <v>12</v>
      </c>
      <c r="H12" s="10" t="n">
        <v>1</v>
      </c>
      <c r="I12" s="14" t="s">
        <v>37</v>
      </c>
      <c r="J12" s="15" t="s">
        <v>38</v>
      </c>
      <c r="K12" s="16" t="s">
        <v>39</v>
      </c>
      <c r="L12" s="11"/>
    </row>
    <row r="13" customFormat="false" ht="19.5" hidden="false" customHeight="true" outlineLevel="0" collapsed="false">
      <c r="A13" s="9" t="n">
        <v>2</v>
      </c>
      <c r="B13" s="17" t="s">
        <v>34</v>
      </c>
      <c r="C13" s="18" t="s">
        <v>35</v>
      </c>
      <c r="D13" s="12" t="s">
        <v>36</v>
      </c>
      <c r="E13" s="19" t="n">
        <v>36</v>
      </c>
      <c r="F13" s="19" t="n">
        <v>30</v>
      </c>
      <c r="G13" s="19" t="n">
        <v>12</v>
      </c>
      <c r="H13" s="17" t="n">
        <v>1</v>
      </c>
      <c r="I13" s="14" t="s">
        <v>37</v>
      </c>
      <c r="J13" s="20" t="s">
        <v>38</v>
      </c>
      <c r="K13" s="21" t="s">
        <v>40</v>
      </c>
      <c r="L13" s="18"/>
    </row>
    <row r="14" customFormat="false" ht="19.5" hidden="false" customHeight="true" outlineLevel="0" collapsed="false">
      <c r="A14" s="9" t="n">
        <v>3</v>
      </c>
      <c r="B14" s="10" t="s">
        <v>41</v>
      </c>
      <c r="C14" s="11" t="s">
        <v>42</v>
      </c>
      <c r="D14" s="12" t="s">
        <v>36</v>
      </c>
      <c r="E14" s="13" t="n">
        <v>30</v>
      </c>
      <c r="F14" s="13" t="n">
        <v>30</v>
      </c>
      <c r="G14" s="13" t="n">
        <v>12</v>
      </c>
      <c r="H14" s="10" t="n">
        <v>1</v>
      </c>
      <c r="I14" s="14" t="s">
        <v>37</v>
      </c>
      <c r="J14" s="15" t="s">
        <v>38</v>
      </c>
      <c r="K14" s="16" t="s">
        <v>43</v>
      </c>
      <c r="L14" s="11"/>
    </row>
    <row r="15" customFormat="false" ht="19.5" hidden="false" customHeight="true" outlineLevel="0" collapsed="false">
      <c r="A15" s="9" t="n">
        <v>4</v>
      </c>
      <c r="B15" s="17" t="s">
        <v>44</v>
      </c>
      <c r="C15" s="18" t="s">
        <v>45</v>
      </c>
      <c r="D15" s="12" t="s">
        <v>36</v>
      </c>
      <c r="E15" s="19" t="n">
        <v>30</v>
      </c>
      <c r="F15" s="19" t="n">
        <v>18</v>
      </c>
      <c r="G15" s="19" t="n">
        <v>12</v>
      </c>
      <c r="H15" s="17" t="n">
        <v>1</v>
      </c>
      <c r="I15" s="14" t="s">
        <v>37</v>
      </c>
      <c r="J15" s="20" t="s">
        <v>38</v>
      </c>
      <c r="K15" s="21" t="s">
        <v>46</v>
      </c>
      <c r="L15" s="18"/>
    </row>
    <row r="16" customFormat="false" ht="19.5" hidden="false" customHeight="true" outlineLevel="0" collapsed="false">
      <c r="A16" s="9" t="n">
        <v>5</v>
      </c>
      <c r="B16" s="10" t="s">
        <v>34</v>
      </c>
      <c r="C16" s="11" t="s">
        <v>35</v>
      </c>
      <c r="D16" s="12" t="s">
        <v>36</v>
      </c>
      <c r="E16" s="13" t="n">
        <v>36</v>
      </c>
      <c r="F16" s="13" t="n">
        <v>30</v>
      </c>
      <c r="G16" s="13" t="n">
        <v>12</v>
      </c>
      <c r="H16" s="10" t="n">
        <v>1</v>
      </c>
      <c r="I16" s="14" t="s">
        <v>37</v>
      </c>
      <c r="J16" s="15" t="s">
        <v>38</v>
      </c>
      <c r="K16" s="16" t="s">
        <v>47</v>
      </c>
      <c r="L16" s="11"/>
    </row>
    <row r="17" customFormat="false" ht="19.5" hidden="false" customHeight="true" outlineLevel="0" collapsed="false">
      <c r="A17" s="9" t="n">
        <v>6</v>
      </c>
      <c r="B17" s="17" t="s">
        <v>41</v>
      </c>
      <c r="C17" s="18" t="s">
        <v>42</v>
      </c>
      <c r="D17" s="12" t="s">
        <v>36</v>
      </c>
      <c r="E17" s="19" t="n">
        <v>30</v>
      </c>
      <c r="F17" s="19" t="n">
        <v>30</v>
      </c>
      <c r="G17" s="19" t="n">
        <v>12</v>
      </c>
      <c r="H17" s="17" t="n">
        <v>1</v>
      </c>
      <c r="I17" s="14" t="s">
        <v>37</v>
      </c>
      <c r="J17" s="20" t="s">
        <v>38</v>
      </c>
      <c r="K17" s="21" t="s">
        <v>48</v>
      </c>
      <c r="L17" s="18"/>
    </row>
    <row r="18" customFormat="false" ht="19.5" hidden="false" customHeight="true" outlineLevel="0" collapsed="false">
      <c r="A18" s="9" t="n">
        <v>7</v>
      </c>
      <c r="B18" s="10" t="s">
        <v>49</v>
      </c>
      <c r="C18" s="11" t="s">
        <v>50</v>
      </c>
      <c r="D18" s="12" t="s">
        <v>36</v>
      </c>
      <c r="E18" s="13" t="n">
        <v>36</v>
      </c>
      <c r="F18" s="13" t="n">
        <v>12</v>
      </c>
      <c r="G18" s="13" t="n">
        <v>12</v>
      </c>
      <c r="H18" s="10" t="n">
        <v>1</v>
      </c>
      <c r="I18" s="14" t="s">
        <v>37</v>
      </c>
      <c r="J18" s="15" t="s">
        <v>38</v>
      </c>
      <c r="K18" s="16" t="s">
        <v>51</v>
      </c>
      <c r="L18" s="11"/>
    </row>
    <row r="19" customFormat="false" ht="19.5" hidden="false" customHeight="true" outlineLevel="0" collapsed="false">
      <c r="A19" s="9" t="n">
        <v>8</v>
      </c>
      <c r="B19" s="17" t="s">
        <v>52</v>
      </c>
      <c r="C19" s="18" t="s">
        <v>53</v>
      </c>
      <c r="D19" s="22" t="s">
        <v>54</v>
      </c>
      <c r="E19" s="19" t="n">
        <v>36</v>
      </c>
      <c r="F19" s="19" t="n">
        <v>34.5</v>
      </c>
      <c r="G19" s="19" t="n">
        <v>24</v>
      </c>
      <c r="H19" s="17" t="n">
        <v>1</v>
      </c>
      <c r="I19" s="14" t="s">
        <v>37</v>
      </c>
      <c r="J19" s="20" t="s">
        <v>55</v>
      </c>
      <c r="K19" s="21" t="s">
        <v>56</v>
      </c>
      <c r="L19" s="18"/>
    </row>
    <row r="20" customFormat="false" ht="19.5" hidden="false" customHeight="true" outlineLevel="0" collapsed="false">
      <c r="A20" s="9" t="n">
        <v>9</v>
      </c>
      <c r="B20" s="10" t="s">
        <v>52</v>
      </c>
      <c r="C20" s="11" t="s">
        <v>53</v>
      </c>
      <c r="D20" s="22" t="s">
        <v>54</v>
      </c>
      <c r="E20" s="13" t="n">
        <v>36</v>
      </c>
      <c r="F20" s="13" t="n">
        <v>34.5</v>
      </c>
      <c r="G20" s="13" t="n">
        <v>24</v>
      </c>
      <c r="H20" s="10" t="n">
        <v>1</v>
      </c>
      <c r="I20" s="14" t="s">
        <v>37</v>
      </c>
      <c r="J20" s="15" t="s">
        <v>55</v>
      </c>
      <c r="K20" s="16" t="s">
        <v>57</v>
      </c>
      <c r="L20" s="11"/>
    </row>
    <row r="21" customFormat="false" ht="19.5" hidden="false" customHeight="true" outlineLevel="0" collapsed="false">
      <c r="A21" s="9" t="n">
        <v>10</v>
      </c>
      <c r="B21" s="17" t="s">
        <v>58</v>
      </c>
      <c r="C21" s="18" t="s">
        <v>59</v>
      </c>
      <c r="D21" s="22" t="s">
        <v>54</v>
      </c>
      <c r="E21" s="19" t="n">
        <v>30</v>
      </c>
      <c r="F21" s="19" t="n">
        <v>34.5</v>
      </c>
      <c r="G21" s="19" t="n">
        <v>24</v>
      </c>
      <c r="H21" s="17" t="n">
        <v>1</v>
      </c>
      <c r="I21" s="14" t="s">
        <v>37</v>
      </c>
      <c r="J21" s="20" t="s">
        <v>55</v>
      </c>
      <c r="K21" s="21" t="s">
        <v>60</v>
      </c>
      <c r="L21" s="18"/>
    </row>
    <row r="22" customFormat="false" ht="19.5" hidden="false" customHeight="true" outlineLevel="0" collapsed="false">
      <c r="A22" s="9" t="n">
        <v>11</v>
      </c>
      <c r="B22" s="10" t="s">
        <v>61</v>
      </c>
      <c r="C22" s="11" t="s">
        <v>62</v>
      </c>
      <c r="D22" s="22" t="s">
        <v>54</v>
      </c>
      <c r="E22" s="13" t="n">
        <v>36</v>
      </c>
      <c r="F22" s="13" t="n">
        <v>34.5</v>
      </c>
      <c r="G22" s="13" t="n">
        <v>24</v>
      </c>
      <c r="H22" s="10" t="n">
        <v>1</v>
      </c>
      <c r="I22" s="14" t="s">
        <v>37</v>
      </c>
      <c r="J22" s="15" t="s">
        <v>55</v>
      </c>
      <c r="K22" s="16" t="s">
        <v>63</v>
      </c>
      <c r="L22" s="11"/>
    </row>
    <row r="23" customFormat="false" ht="19.5" hidden="false" customHeight="true" outlineLevel="0" collapsed="false">
      <c r="A23" s="9" t="n">
        <v>12</v>
      </c>
      <c r="B23" s="17" t="s">
        <v>52</v>
      </c>
      <c r="C23" s="18" t="s">
        <v>53</v>
      </c>
      <c r="D23" s="22" t="s">
        <v>54</v>
      </c>
      <c r="E23" s="19" t="n">
        <v>36</v>
      </c>
      <c r="F23" s="19" t="n">
        <v>34.5</v>
      </c>
      <c r="G23" s="19" t="n">
        <v>24</v>
      </c>
      <c r="H23" s="17" t="n">
        <v>1</v>
      </c>
      <c r="I23" s="14" t="s">
        <v>37</v>
      </c>
      <c r="J23" s="20" t="s">
        <v>55</v>
      </c>
      <c r="K23" s="21" t="s">
        <v>64</v>
      </c>
      <c r="L23" s="18"/>
    </row>
    <row r="24" customFormat="false" ht="19.5" hidden="false" customHeight="true" outlineLevel="0" collapsed="false">
      <c r="A24" s="9" t="n">
        <v>13</v>
      </c>
      <c r="B24" s="10" t="s">
        <v>65</v>
      </c>
      <c r="C24" s="11" t="s">
        <v>66</v>
      </c>
      <c r="D24" s="22" t="s">
        <v>54</v>
      </c>
      <c r="E24" s="13" t="n">
        <v>24</v>
      </c>
      <c r="F24" s="13" t="n">
        <v>34.5</v>
      </c>
      <c r="G24" s="13" t="n">
        <v>24</v>
      </c>
      <c r="H24" s="10" t="n">
        <v>1</v>
      </c>
      <c r="I24" s="14" t="s">
        <v>37</v>
      </c>
      <c r="J24" s="15" t="s">
        <v>55</v>
      </c>
      <c r="K24" s="16" t="s">
        <v>67</v>
      </c>
      <c r="L24" s="11"/>
    </row>
    <row r="25" customFormat="false" ht="19.5" hidden="false" customHeight="true" outlineLevel="0" collapsed="false">
      <c r="A25" s="9" t="n">
        <v>14</v>
      </c>
      <c r="B25" s="17" t="s">
        <v>68</v>
      </c>
      <c r="C25" s="18" t="s">
        <v>69</v>
      </c>
      <c r="D25" s="23" t="s">
        <v>70</v>
      </c>
      <c r="E25" s="19" t="n">
        <v>15</v>
      </c>
      <c r="F25" s="19" t="n">
        <v>84</v>
      </c>
      <c r="G25" s="19" t="n">
        <v>24</v>
      </c>
      <c r="H25" s="17" t="n">
        <v>1</v>
      </c>
      <c r="I25" s="14" t="s">
        <v>37</v>
      </c>
      <c r="J25" s="20" t="s">
        <v>55</v>
      </c>
      <c r="K25" s="21" t="s">
        <v>71</v>
      </c>
      <c r="L25" s="18"/>
    </row>
    <row r="26" customFormat="false" ht="19.5" hidden="false" customHeight="true" outlineLevel="0" collapsed="false">
      <c r="A26" s="9" t="n">
        <v>15</v>
      </c>
      <c r="B26" s="10" t="s">
        <v>72</v>
      </c>
      <c r="C26" s="11" t="s">
        <v>73</v>
      </c>
      <c r="D26" s="22" t="s">
        <v>54</v>
      </c>
      <c r="E26" s="13" t="n">
        <v>18</v>
      </c>
      <c r="F26" s="13" t="n">
        <v>34.5</v>
      </c>
      <c r="G26" s="13" t="n">
        <v>24</v>
      </c>
      <c r="H26" s="10" t="n">
        <v>1</v>
      </c>
      <c r="I26" s="14" t="s">
        <v>37</v>
      </c>
      <c r="J26" s="15" t="s">
        <v>55</v>
      </c>
      <c r="K26" s="16" t="s">
        <v>74</v>
      </c>
      <c r="L26" s="11"/>
    </row>
    <row r="27" customFormat="false" ht="24" hidden="false" customHeight="true" outlineLevel="0" collapsed="false">
      <c r="A27" s="24" t="s">
        <v>75</v>
      </c>
      <c r="B27" s="24"/>
      <c r="C27" s="24"/>
      <c r="D27" s="25" t="s">
        <v>76</v>
      </c>
      <c r="E27" s="26" t="s">
        <v>77</v>
      </c>
      <c r="F27" s="27" t="s">
        <v>78</v>
      </c>
      <c r="G27" s="28" t="s">
        <v>79</v>
      </c>
      <c r="H27" s="29"/>
      <c r="I27" s="29"/>
      <c r="J27" s="29"/>
      <c r="K27" s="29"/>
      <c r="L27" s="29"/>
    </row>
    <row r="29" customFormat="false" ht="24" hidden="false" customHeight="true" outlineLevel="0" collapsed="false">
      <c r="A29" s="6" t="s">
        <v>80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customFormat="false" ht="15.75" hidden="false" customHeight="true" outlineLevel="0" collapsed="false">
      <c r="A30" s="7" t="s">
        <v>81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customFormat="false" ht="21.75" hidden="false" customHeight="true" outlineLevel="0" collapsed="false">
      <c r="A31" s="8" t="s">
        <v>23</v>
      </c>
      <c r="B31" s="8" t="s">
        <v>24</v>
      </c>
      <c r="C31" s="8" t="s">
        <v>25</v>
      </c>
      <c r="D31" s="8" t="s">
        <v>26</v>
      </c>
      <c r="E31" s="8" t="s">
        <v>27</v>
      </c>
      <c r="F31" s="8" t="s">
        <v>28</v>
      </c>
      <c r="G31" s="8" t="s">
        <v>29</v>
      </c>
      <c r="H31" s="8" t="s">
        <v>30</v>
      </c>
      <c r="I31" s="8" t="s">
        <v>31</v>
      </c>
      <c r="J31" s="8" t="s">
        <v>32</v>
      </c>
      <c r="K31" s="8" t="s">
        <v>33</v>
      </c>
      <c r="L31" s="8"/>
    </row>
    <row r="32" customFormat="false" ht="19.5" hidden="false" customHeight="true" outlineLevel="0" collapsed="false">
      <c r="A32" s="9" t="n">
        <v>1</v>
      </c>
      <c r="B32" s="10" t="s">
        <v>82</v>
      </c>
      <c r="C32" s="11" t="s">
        <v>83</v>
      </c>
      <c r="D32" s="30" t="s">
        <v>84</v>
      </c>
      <c r="E32" s="13" t="n">
        <v>60</v>
      </c>
      <c r="F32" s="13" t="n">
        <v>34.5</v>
      </c>
      <c r="G32" s="13" t="n">
        <v>21</v>
      </c>
      <c r="H32" s="10" t="n">
        <v>1</v>
      </c>
      <c r="I32" s="14" t="s">
        <v>37</v>
      </c>
      <c r="J32" s="15" t="s">
        <v>85</v>
      </c>
      <c r="K32" s="16" t="s">
        <v>86</v>
      </c>
      <c r="L32" s="11"/>
    </row>
    <row r="33" customFormat="false" ht="19.5" hidden="false" customHeight="true" outlineLevel="0" collapsed="false">
      <c r="A33" s="9" t="n">
        <v>2</v>
      </c>
      <c r="B33" s="17" t="s">
        <v>87</v>
      </c>
      <c r="C33" s="18" t="s">
        <v>88</v>
      </c>
      <c r="D33" s="30" t="s">
        <v>84</v>
      </c>
      <c r="E33" s="19" t="n">
        <v>60</v>
      </c>
      <c r="F33" s="19" t="n">
        <v>36</v>
      </c>
      <c r="G33" s="19" t="n">
        <v>4</v>
      </c>
      <c r="H33" s="17" t="n">
        <v>1</v>
      </c>
      <c r="I33" s="14" t="s">
        <v>37</v>
      </c>
      <c r="J33" s="20" t="s">
        <v>85</v>
      </c>
      <c r="K33" s="21" t="s">
        <v>89</v>
      </c>
      <c r="L33" s="18"/>
    </row>
    <row r="34" customFormat="false" ht="19.5" hidden="false" customHeight="true" outlineLevel="0" collapsed="false">
      <c r="A34" s="9" t="n">
        <v>3</v>
      </c>
      <c r="B34" s="10" t="s">
        <v>90</v>
      </c>
      <c r="C34" s="11" t="s">
        <v>91</v>
      </c>
      <c r="D34" s="31" t="s">
        <v>92</v>
      </c>
      <c r="E34" s="13" t="n">
        <v>36</v>
      </c>
      <c r="F34" s="13" t="n">
        <v>34.5</v>
      </c>
      <c r="G34" s="13" t="n">
        <v>21</v>
      </c>
      <c r="H34" s="10" t="n">
        <v>1</v>
      </c>
      <c r="I34" s="14" t="s">
        <v>37</v>
      </c>
      <c r="J34" s="15" t="s">
        <v>93</v>
      </c>
      <c r="K34" s="16" t="s">
        <v>94</v>
      </c>
      <c r="L34" s="11"/>
    </row>
    <row r="35" customFormat="false" ht="19.5" hidden="false" customHeight="true" outlineLevel="0" collapsed="false">
      <c r="A35" s="9" t="n">
        <v>4</v>
      </c>
      <c r="B35" s="17" t="s">
        <v>95</v>
      </c>
      <c r="C35" s="18" t="s">
        <v>96</v>
      </c>
      <c r="D35" s="31" t="s">
        <v>92</v>
      </c>
      <c r="E35" s="19" t="n">
        <v>36</v>
      </c>
      <c r="F35" s="19" t="n">
        <v>30</v>
      </c>
      <c r="G35" s="19" t="n">
        <v>4</v>
      </c>
      <c r="H35" s="17" t="n">
        <v>1</v>
      </c>
      <c r="I35" s="14" t="s">
        <v>37</v>
      </c>
      <c r="J35" s="20" t="s">
        <v>93</v>
      </c>
      <c r="K35" s="21" t="s">
        <v>97</v>
      </c>
      <c r="L35" s="18"/>
    </row>
    <row r="36" customFormat="false" ht="19.5" hidden="false" customHeight="true" outlineLevel="0" collapsed="false">
      <c r="A36" s="9" t="n">
        <v>5</v>
      </c>
      <c r="B36" s="10" t="s">
        <v>98</v>
      </c>
      <c r="C36" s="11" t="s">
        <v>99</v>
      </c>
      <c r="D36" s="30" t="s">
        <v>84</v>
      </c>
      <c r="E36" s="13" t="n">
        <v>18</v>
      </c>
      <c r="F36" s="13" t="n">
        <v>84</v>
      </c>
      <c r="G36" s="13" t="n">
        <v>21</v>
      </c>
      <c r="H36" s="10" t="n">
        <v>1</v>
      </c>
      <c r="I36" s="14" t="s">
        <v>37</v>
      </c>
      <c r="J36" s="15" t="s">
        <v>85</v>
      </c>
      <c r="K36" s="16" t="s">
        <v>100</v>
      </c>
      <c r="L36" s="11"/>
    </row>
    <row r="37" customFormat="false" ht="24" hidden="false" customHeight="true" outlineLevel="0" collapsed="false">
      <c r="A37" s="24" t="s">
        <v>101</v>
      </c>
      <c r="B37" s="24"/>
      <c r="C37" s="24"/>
      <c r="D37" s="32" t="s">
        <v>102</v>
      </c>
      <c r="E37" s="33" t="s">
        <v>103</v>
      </c>
      <c r="F37" s="28" t="s">
        <v>104</v>
      </c>
      <c r="G37" s="29"/>
      <c r="H37" s="29"/>
      <c r="I37" s="29"/>
      <c r="J37" s="29"/>
      <c r="K37" s="29"/>
      <c r="L37" s="29"/>
    </row>
    <row r="39" customFormat="false" ht="30" hidden="false" customHeight="true" outlineLevel="0" collapsed="false">
      <c r="A39" s="34" t="s">
        <v>105</v>
      </c>
      <c r="B39" s="34"/>
      <c r="C39" s="34"/>
      <c r="D39" s="34"/>
      <c r="E39" s="34"/>
    </row>
    <row r="40" customFormat="false" ht="19.5" hidden="false" customHeight="true" outlineLevel="0" collapsed="false">
      <c r="A40" s="35" t="s">
        <v>106</v>
      </c>
      <c r="B40" s="35"/>
      <c r="C40" s="35"/>
      <c r="D40" s="35"/>
      <c r="E40" s="36" t="n">
        <v>7</v>
      </c>
    </row>
    <row r="41" customFormat="false" ht="19.5" hidden="false" customHeight="true" outlineLevel="0" collapsed="false">
      <c r="A41" s="37" t="s">
        <v>107</v>
      </c>
      <c r="B41" s="37"/>
      <c r="C41" s="37"/>
      <c r="D41" s="37"/>
      <c r="E41" s="38" t="n">
        <v>7</v>
      </c>
    </row>
    <row r="42" customFormat="false" ht="19.5" hidden="false" customHeight="true" outlineLevel="0" collapsed="false">
      <c r="A42" s="39" t="s">
        <v>108</v>
      </c>
      <c r="B42" s="39"/>
      <c r="C42" s="39"/>
      <c r="D42" s="39"/>
      <c r="E42" s="40" t="n">
        <v>1</v>
      </c>
    </row>
    <row r="43" customFormat="false" ht="19.5" hidden="false" customHeight="true" outlineLevel="0" collapsed="false">
      <c r="A43" s="41" t="s">
        <v>109</v>
      </c>
      <c r="B43" s="41"/>
      <c r="C43" s="41"/>
      <c r="D43" s="41"/>
      <c r="E43" s="42" t="n">
        <v>3</v>
      </c>
    </row>
    <row r="44" customFormat="false" ht="19.5" hidden="false" customHeight="true" outlineLevel="0" collapsed="false">
      <c r="A44" s="43" t="s">
        <v>110</v>
      </c>
      <c r="B44" s="43"/>
      <c r="C44" s="43"/>
      <c r="D44" s="43"/>
      <c r="E44" s="44" t="n">
        <v>2</v>
      </c>
    </row>
    <row r="45" customFormat="false" ht="36" hidden="false" customHeight="true" outlineLevel="0" collapsed="false">
      <c r="A45" s="45" t="s">
        <v>111</v>
      </c>
      <c r="B45" s="45"/>
      <c r="C45" s="45"/>
      <c r="D45" s="45"/>
      <c r="E45" s="46" t="n">
        <v>20</v>
      </c>
    </row>
  </sheetData>
  <mergeCells count="16">
    <mergeCell ref="A1:L1"/>
    <mergeCell ref="A2:L2"/>
    <mergeCell ref="A7:L7"/>
    <mergeCell ref="A9:L9"/>
    <mergeCell ref="A10:L10"/>
    <mergeCell ref="A27:C27"/>
    <mergeCell ref="A29:L29"/>
    <mergeCell ref="A30:L30"/>
    <mergeCell ref="A37:C37"/>
    <mergeCell ref="A39:E39"/>
    <mergeCell ref="A40:D40"/>
    <mergeCell ref="A41:D41"/>
    <mergeCell ref="A42:D42"/>
    <mergeCell ref="A43:D43"/>
    <mergeCell ref="A44:D44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1" min="10" style="0" width="18"/>
    <col collapsed="false" customWidth="true" hidden="false" outlineLevel="0" max="12" min="12" style="0" width="28"/>
  </cols>
  <sheetData>
    <row r="1" customFormat="false" ht="31.5" hidden="false" customHeight="true" outlineLevel="0" collapsed="false">
      <c r="A1" s="47" t="s">
        <v>112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customFormat="false" ht="15.75" hidden="false" customHeight="true" outlineLevel="0" collapsed="false">
      <c r="A2" s="48" t="s">
        <v>113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4" customFormat="false" ht="30" hidden="false" customHeight="true" outlineLevel="0" collapsed="false">
      <c r="A4" s="49" t="s">
        <v>114</v>
      </c>
      <c r="B4" s="49" t="s">
        <v>25</v>
      </c>
      <c r="C4" s="49" t="s">
        <v>115</v>
      </c>
      <c r="D4" s="49" t="s">
        <v>116</v>
      </c>
      <c r="E4" s="49" t="s">
        <v>117</v>
      </c>
      <c r="F4" s="49" t="s">
        <v>118</v>
      </c>
      <c r="G4" s="49" t="s">
        <v>119</v>
      </c>
      <c r="H4" s="49" t="s">
        <v>120</v>
      </c>
      <c r="I4" s="49" t="s">
        <v>121</v>
      </c>
      <c r="J4" s="49" t="s">
        <v>122</v>
      </c>
      <c r="K4" s="49" t="s">
        <v>123</v>
      </c>
    </row>
    <row r="5" customFormat="false" ht="21.75" hidden="false" customHeight="true" outlineLevel="0" collapsed="false">
      <c r="A5" s="50" t="s">
        <v>5</v>
      </c>
      <c r="B5" s="50" t="s">
        <v>124</v>
      </c>
      <c r="C5" s="50" t="n">
        <v>1</v>
      </c>
      <c r="D5" s="50" t="n">
        <v>7</v>
      </c>
      <c r="E5" s="50" t="n">
        <v>7</v>
      </c>
      <c r="F5" s="50" t="n">
        <v>1</v>
      </c>
      <c r="G5" s="50" t="n">
        <v>15</v>
      </c>
      <c r="H5" s="50" t="n">
        <v>5</v>
      </c>
      <c r="I5" s="50" t="n">
        <v>20</v>
      </c>
      <c r="J5" s="26" t="n">
        <f aca="false">C5*G5</f>
        <v>15</v>
      </c>
      <c r="K5" s="26" t="n">
        <f aca="false">C5*H5</f>
        <v>5</v>
      </c>
      <c r="L5" s="51" t="s">
        <v>125</v>
      </c>
    </row>
    <row r="6" customFormat="false" ht="21.75" hidden="false" customHeight="true" outlineLevel="0" collapsed="false">
      <c r="A6" s="52" t="s">
        <v>126</v>
      </c>
      <c r="B6" s="52" t="s">
        <v>127</v>
      </c>
      <c r="C6" s="52" t="s">
        <v>128</v>
      </c>
      <c r="D6" s="52" t="s">
        <v>128</v>
      </c>
      <c r="E6" s="52" t="s">
        <v>128</v>
      </c>
      <c r="F6" s="52" t="s">
        <v>128</v>
      </c>
      <c r="G6" s="52" t="s">
        <v>128</v>
      </c>
      <c r="H6" s="52" t="s">
        <v>128</v>
      </c>
      <c r="I6" s="52" t="s">
        <v>128</v>
      </c>
      <c r="J6" s="53" t="s">
        <v>129</v>
      </c>
      <c r="K6" s="53" t="s">
        <v>129</v>
      </c>
      <c r="L6" s="54" t="s">
        <v>130</v>
      </c>
    </row>
    <row r="7" customFormat="false" ht="21.75" hidden="false" customHeight="true" outlineLevel="0" collapsed="false">
      <c r="A7" s="52" t="s">
        <v>131</v>
      </c>
      <c r="B7" s="52" t="s">
        <v>132</v>
      </c>
      <c r="C7" s="52" t="s">
        <v>128</v>
      </c>
      <c r="D7" s="52" t="s">
        <v>128</v>
      </c>
      <c r="E7" s="52" t="s">
        <v>128</v>
      </c>
      <c r="F7" s="52" t="s">
        <v>128</v>
      </c>
      <c r="G7" s="52" t="s">
        <v>128</v>
      </c>
      <c r="H7" s="52" t="s">
        <v>128</v>
      </c>
      <c r="I7" s="52" t="s">
        <v>128</v>
      </c>
      <c r="J7" s="53" t="s">
        <v>129</v>
      </c>
      <c r="K7" s="53" t="s">
        <v>129</v>
      </c>
      <c r="L7" s="54" t="s">
        <v>130</v>
      </c>
    </row>
    <row r="8" customFormat="false" ht="21.75" hidden="false" customHeight="true" outlineLevel="0" collapsed="false">
      <c r="A8" s="52" t="s">
        <v>133</v>
      </c>
      <c r="B8" s="52" t="s">
        <v>134</v>
      </c>
      <c r="C8" s="52" t="s">
        <v>128</v>
      </c>
      <c r="D8" s="52" t="s">
        <v>128</v>
      </c>
      <c r="E8" s="52" t="s">
        <v>128</v>
      </c>
      <c r="F8" s="52" t="s">
        <v>128</v>
      </c>
      <c r="G8" s="52" t="s">
        <v>128</v>
      </c>
      <c r="H8" s="52" t="s">
        <v>128</v>
      </c>
      <c r="I8" s="52" t="s">
        <v>128</v>
      </c>
      <c r="J8" s="53" t="s">
        <v>129</v>
      </c>
      <c r="K8" s="53" t="s">
        <v>129</v>
      </c>
      <c r="L8" s="54" t="s">
        <v>130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36" hidden="false" customHeight="true" outlineLevel="0" collapsed="false">
      <c r="A1" s="55" t="s">
        <v>135</v>
      </c>
      <c r="B1" s="55"/>
      <c r="C1" s="55"/>
      <c r="D1" s="55"/>
      <c r="E1" s="55"/>
      <c r="F1" s="55"/>
    </row>
    <row r="2" customFormat="false" ht="15.75" hidden="false" customHeight="true" outlineLevel="0" collapsed="false">
      <c r="A2" s="48" t="s">
        <v>136</v>
      </c>
      <c r="B2" s="48"/>
      <c r="C2" s="48"/>
      <c r="D2" s="48"/>
      <c r="E2" s="48"/>
      <c r="F2" s="48"/>
    </row>
    <row r="3" customFormat="false" ht="19.5" hidden="false" customHeight="true" outlineLevel="0" collapsed="false">
      <c r="A3" s="56" t="s">
        <v>137</v>
      </c>
      <c r="B3" s="56" t="s">
        <v>138</v>
      </c>
      <c r="C3" s="56" t="s">
        <v>139</v>
      </c>
      <c r="D3" s="56" t="s">
        <v>140</v>
      </c>
      <c r="E3" s="56" t="s">
        <v>141</v>
      </c>
      <c r="F3" s="56" t="s">
        <v>142</v>
      </c>
    </row>
    <row r="4" customFormat="false" ht="21.75" hidden="false" customHeight="true" outlineLevel="0" collapsed="false">
      <c r="A4" s="57" t="s">
        <v>143</v>
      </c>
      <c r="B4" s="57"/>
      <c r="C4" s="57"/>
      <c r="D4" s="57"/>
      <c r="E4" s="57"/>
      <c r="F4" s="57"/>
    </row>
    <row r="5" customFormat="false" ht="18" hidden="false" customHeight="true" outlineLevel="0" collapsed="false">
      <c r="A5" s="58"/>
      <c r="B5" s="59" t="s">
        <v>144</v>
      </c>
      <c r="C5" s="60" t="s">
        <v>145</v>
      </c>
      <c r="D5" s="61"/>
      <c r="E5" s="62" t="n">
        <v>15</v>
      </c>
      <c r="F5" s="63" t="s">
        <v>146</v>
      </c>
    </row>
    <row r="6" customFormat="false" ht="18" hidden="false" customHeight="true" outlineLevel="0" collapsed="false">
      <c r="A6" s="64"/>
      <c r="B6" s="65" t="s">
        <v>120</v>
      </c>
      <c r="C6" s="66" t="s">
        <v>147</v>
      </c>
      <c r="D6" s="67"/>
      <c r="E6" s="68" t="n">
        <v>5</v>
      </c>
      <c r="F6" s="54" t="s">
        <v>146</v>
      </c>
    </row>
    <row r="7" customFormat="false" ht="18" hidden="false" customHeight="true" outlineLevel="0" collapsed="false">
      <c r="A7" s="69"/>
      <c r="B7" s="70" t="s">
        <v>148</v>
      </c>
      <c r="C7" s="71"/>
      <c r="D7" s="72"/>
      <c r="E7" s="73" t="n">
        <v>20</v>
      </c>
      <c r="F7" s="74" t="s">
        <v>146</v>
      </c>
    </row>
    <row r="8" customFormat="false" ht="18" hidden="false" customHeight="true" outlineLevel="0" collapsed="false">
      <c r="A8" s="64"/>
      <c r="B8" s="65" t="s">
        <v>149</v>
      </c>
      <c r="C8" s="66" t="s">
        <v>150</v>
      </c>
      <c r="D8" s="67"/>
      <c r="E8" s="68" t="n">
        <v>1</v>
      </c>
      <c r="F8" s="54" t="s">
        <v>151</v>
      </c>
    </row>
    <row r="9" customFormat="false" ht="7.5" hidden="false" customHeight="true" outlineLevel="0" collapsed="false"/>
    <row r="10" customFormat="false" ht="21.75" hidden="false" customHeight="true" outlineLevel="0" collapsed="false">
      <c r="A10" s="57" t="s">
        <v>152</v>
      </c>
      <c r="B10" s="57"/>
      <c r="C10" s="57"/>
      <c r="D10" s="57"/>
      <c r="E10" s="57"/>
      <c r="F10" s="57"/>
    </row>
    <row r="11" customFormat="false" ht="18" hidden="false" customHeight="true" outlineLevel="0" collapsed="false">
      <c r="A11" s="58"/>
      <c r="B11" s="59" t="s">
        <v>144</v>
      </c>
      <c r="C11" s="60" t="s">
        <v>153</v>
      </c>
      <c r="D11" s="61"/>
      <c r="E11" s="75" t="n">
        <v>1999</v>
      </c>
      <c r="F11" s="63" t="s">
        <v>154</v>
      </c>
    </row>
    <row r="12" customFormat="false" ht="18" hidden="false" customHeight="true" outlineLevel="0" collapsed="false">
      <c r="A12" s="64"/>
      <c r="B12" s="65" t="s">
        <v>120</v>
      </c>
      <c r="C12" s="66" t="s">
        <v>153</v>
      </c>
      <c r="D12" s="67"/>
      <c r="E12" s="76" t="n">
        <v>1522</v>
      </c>
      <c r="F12" s="54" t="s">
        <v>154</v>
      </c>
    </row>
    <row r="13" customFormat="false" ht="18" hidden="false" customHeight="true" outlineLevel="0" collapsed="false">
      <c r="A13" s="69"/>
      <c r="B13" s="70" t="s">
        <v>155</v>
      </c>
      <c r="C13" s="71"/>
      <c r="D13" s="72"/>
      <c r="E13" s="77" t="n">
        <v>3521</v>
      </c>
      <c r="F13" s="74" t="s">
        <v>154</v>
      </c>
    </row>
    <row r="14" customFormat="false" ht="7.5" hidden="false" customHeight="true" outlineLevel="0" collapsed="false"/>
    <row r="15" customFormat="false" ht="21.75" hidden="false" customHeight="true" outlineLevel="0" collapsed="false">
      <c r="A15" s="57" t="s">
        <v>156</v>
      </c>
      <c r="B15" s="57"/>
      <c r="C15" s="57"/>
      <c r="D15" s="57"/>
      <c r="E15" s="57"/>
      <c r="F15" s="57"/>
    </row>
    <row r="16" customFormat="false" ht="18" hidden="false" customHeight="true" outlineLevel="0" collapsed="false">
      <c r="A16" s="64"/>
      <c r="B16" s="65" t="s">
        <v>157</v>
      </c>
      <c r="C16" s="66" t="s">
        <v>158</v>
      </c>
      <c r="D16" s="78" t="n">
        <v>0.075</v>
      </c>
      <c r="E16" s="76" t="n">
        <v>264.075</v>
      </c>
      <c r="F16" s="54" t="s">
        <v>154</v>
      </c>
    </row>
    <row r="17" customFormat="false" ht="18" hidden="false" customHeight="true" outlineLevel="0" collapsed="false">
      <c r="A17" s="58"/>
      <c r="B17" s="59" t="s">
        <v>159</v>
      </c>
      <c r="C17" s="60" t="s">
        <v>160</v>
      </c>
      <c r="D17" s="79" t="n">
        <v>4500</v>
      </c>
      <c r="E17" s="75" t="n">
        <v>4500</v>
      </c>
      <c r="F17" s="63" t="s">
        <v>154</v>
      </c>
    </row>
    <row r="18" customFormat="false" ht="18" hidden="false" customHeight="true" outlineLevel="0" collapsed="false">
      <c r="A18" s="64"/>
      <c r="B18" s="65" t="s">
        <v>161</v>
      </c>
      <c r="C18" s="66" t="s">
        <v>162</v>
      </c>
      <c r="D18" s="79" t="n">
        <v>1200</v>
      </c>
      <c r="E18" s="76" t="n">
        <v>1200</v>
      </c>
      <c r="F18" s="54" t="s">
        <v>154</v>
      </c>
    </row>
    <row r="19" customFormat="false" ht="18" hidden="false" customHeight="true" outlineLevel="0" collapsed="false">
      <c r="A19" s="58"/>
      <c r="B19" s="59" t="s">
        <v>163</v>
      </c>
      <c r="C19" s="60" t="s">
        <v>164</v>
      </c>
      <c r="D19" s="79" t="n">
        <v>85</v>
      </c>
      <c r="E19" s="75" t="n">
        <v>1700</v>
      </c>
      <c r="F19" s="63" t="s">
        <v>154</v>
      </c>
    </row>
    <row r="20" customFormat="false" ht="18" hidden="false" customHeight="true" outlineLevel="0" collapsed="false">
      <c r="A20" s="64"/>
      <c r="B20" s="65" t="s">
        <v>165</v>
      </c>
      <c r="C20" s="66" t="s">
        <v>166</v>
      </c>
      <c r="D20" s="78" t="n">
        <v>0.02</v>
      </c>
      <c r="E20" s="76" t="n">
        <v>70.42</v>
      </c>
      <c r="F20" s="54" t="s">
        <v>154</v>
      </c>
    </row>
    <row r="21" customFormat="false" ht="18" hidden="false" customHeight="true" outlineLevel="0" collapsed="false">
      <c r="A21" s="58"/>
      <c r="B21" s="59" t="s">
        <v>167</v>
      </c>
      <c r="C21" s="60" t="s">
        <v>168</v>
      </c>
      <c r="D21" s="78" t="n">
        <v>0.005</v>
      </c>
      <c r="E21" s="75" t="n">
        <v>17.605</v>
      </c>
      <c r="F21" s="63" t="s">
        <v>154</v>
      </c>
    </row>
    <row r="22" customFormat="false" ht="18" hidden="false" customHeight="true" outlineLevel="0" collapsed="false">
      <c r="A22" s="64"/>
      <c r="B22" s="65" t="s">
        <v>169</v>
      </c>
      <c r="C22" s="66" t="s">
        <v>170</v>
      </c>
      <c r="D22" s="78" t="n">
        <v>0.008</v>
      </c>
      <c r="E22" s="76" t="n">
        <v>28.168</v>
      </c>
      <c r="F22" s="54" t="s">
        <v>154</v>
      </c>
    </row>
    <row r="23" customFormat="false" ht="18" hidden="false" customHeight="true" outlineLevel="0" collapsed="false">
      <c r="A23" s="58"/>
      <c r="B23" s="59" t="s">
        <v>171</v>
      </c>
      <c r="C23" s="60" t="s">
        <v>162</v>
      </c>
      <c r="D23" s="61"/>
      <c r="E23" s="75" t="n">
        <v>500</v>
      </c>
      <c r="F23" s="63" t="s">
        <v>154</v>
      </c>
    </row>
    <row r="24" customFormat="false" ht="7.5" hidden="false" customHeight="true" outlineLevel="0" collapsed="false"/>
    <row r="25" customFormat="false" ht="21.75" hidden="false" customHeight="true" outlineLevel="0" collapsed="false">
      <c r="A25" s="57" t="s">
        <v>172</v>
      </c>
      <c r="B25" s="57"/>
      <c r="C25" s="57"/>
      <c r="D25" s="57"/>
      <c r="E25" s="57"/>
      <c r="F25" s="57"/>
    </row>
    <row r="26" customFormat="false" ht="18" hidden="false" customHeight="true" outlineLevel="0" collapsed="false">
      <c r="A26" s="64"/>
      <c r="B26" s="65" t="s">
        <v>173</v>
      </c>
      <c r="C26" s="66" t="s">
        <v>174</v>
      </c>
      <c r="D26" s="78" t="n">
        <v>0.05</v>
      </c>
      <c r="E26" s="68"/>
      <c r="F26" s="54" t="s">
        <v>175</v>
      </c>
    </row>
    <row r="27" customFormat="false" ht="18" hidden="false" customHeight="true" outlineLevel="0" collapsed="false">
      <c r="A27" s="58"/>
      <c r="B27" s="59" t="s">
        <v>176</v>
      </c>
      <c r="C27" s="60" t="s">
        <v>177</v>
      </c>
      <c r="D27" s="78" t="n">
        <v>0.015</v>
      </c>
      <c r="E27" s="62"/>
      <c r="F27" s="63" t="s">
        <v>175</v>
      </c>
    </row>
    <row r="28" customFormat="false" ht="18" hidden="false" customHeight="true" outlineLevel="0" collapsed="false">
      <c r="A28" s="64"/>
      <c r="B28" s="65" t="s">
        <v>178</v>
      </c>
      <c r="C28" s="66" t="s">
        <v>179</v>
      </c>
      <c r="D28" s="78" t="n">
        <v>0.35</v>
      </c>
      <c r="E28" s="68"/>
      <c r="F28" s="54" t="s">
        <v>175</v>
      </c>
    </row>
    <row r="30" customFormat="false" ht="25.5" hidden="false" customHeight="true" outlineLevel="0" collapsed="false">
      <c r="A30" s="80" t="s">
        <v>180</v>
      </c>
      <c r="B30" s="80"/>
      <c r="C30" s="80"/>
      <c r="D30" s="80"/>
      <c r="E30" s="81" t="n">
        <v>11801.268</v>
      </c>
      <c r="F30" s="82"/>
    </row>
    <row r="32" customFormat="false" ht="19.5" hidden="false" customHeight="true" outlineLevel="0" collapsed="false">
      <c r="A32" s="83" t="s">
        <v>181</v>
      </c>
      <c r="B32" s="83"/>
      <c r="C32" s="83"/>
      <c r="D32" s="83"/>
      <c r="E32" s="84" t="n">
        <v>1008.65538461539</v>
      </c>
      <c r="F32" s="64"/>
    </row>
    <row r="33" customFormat="false" ht="19.5" hidden="false" customHeight="true" outlineLevel="0" collapsed="false">
      <c r="A33" s="83" t="s">
        <v>182</v>
      </c>
      <c r="B33" s="83"/>
      <c r="C33" s="83"/>
      <c r="D33" s="83"/>
      <c r="E33" s="84" t="n">
        <v>302.596615384615</v>
      </c>
      <c r="F33" s="64"/>
    </row>
    <row r="34" customFormat="false" ht="19.5" hidden="false" customHeight="true" outlineLevel="0" collapsed="false">
      <c r="A34" s="83" t="s">
        <v>183</v>
      </c>
      <c r="B34" s="83"/>
      <c r="C34" s="83"/>
      <c r="D34" s="83"/>
      <c r="E34" s="84" t="n">
        <v>13112.52</v>
      </c>
      <c r="F34" s="64"/>
    </row>
    <row r="35" customFormat="false" ht="19.5" hidden="false" customHeight="true" outlineLevel="0" collapsed="false">
      <c r="A35" s="37" t="s">
        <v>184</v>
      </c>
      <c r="B35" s="37"/>
      <c r="C35" s="37"/>
      <c r="D35" s="37"/>
      <c r="E35" s="77" t="n">
        <v>7060.58769230769</v>
      </c>
      <c r="F35" s="69"/>
    </row>
    <row r="37" customFormat="false" ht="39.75" hidden="false" customHeight="true" outlineLevel="0" collapsed="false">
      <c r="A37" s="45" t="s">
        <v>185</v>
      </c>
      <c r="B37" s="45"/>
      <c r="C37" s="45"/>
      <c r="D37" s="45"/>
      <c r="E37" s="85" t="n">
        <v>20173.1076923077</v>
      </c>
      <c r="F37" s="86" t="s">
        <v>186</v>
      </c>
    </row>
  </sheetData>
  <mergeCells count="12">
    <mergeCell ref="A1:F1"/>
    <mergeCell ref="A2:F2"/>
    <mergeCell ref="A4:F4"/>
    <mergeCell ref="A10:F10"/>
    <mergeCell ref="A15:F15"/>
    <mergeCell ref="A25:F25"/>
    <mergeCell ref="A30:D30"/>
    <mergeCell ref="A32:D32"/>
    <mergeCell ref="A33:D33"/>
    <mergeCell ref="A34:D34"/>
    <mergeCell ref="A35:D35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2026-06-10T03:53:50Z</dcterms:created>
  <dc:creator>openpyxl</dc:creator>
  <dc:description/>
  <dc:language>en-US</dc:language>
  <cp:lastModifiedBy/>
  <dcterms:modified xsi:type="dcterms:W3CDTF">2026-06-10T03:53:50Z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