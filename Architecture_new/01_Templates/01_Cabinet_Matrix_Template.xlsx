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fo" sheetId="1" state="visible" r:id="rId1"/>
    <sheet xmlns:r="http://schemas.openxmlformats.org/officeDocument/2006/relationships" name="Cabinet Matrix" sheetId="2" state="visible" r:id="rId2"/>
    <sheet xmlns:r="http://schemas.openxmlformats.org/officeDocument/2006/relationships" name="Cabinet Librar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i val="1"/>
      <color rgb="007F7F7F"/>
      <sz val="9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1F3864"/>
      <sz val="8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F2F2F2"/>
      </patternFill>
    </fill>
    <fill>
      <patternFill patternType="solid">
        <fgColor rgb="002E5594"/>
      </patternFill>
    </fill>
    <fill>
      <patternFill patternType="solid">
        <fgColor rgb="00C9A84C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164" fontId="13" fillId="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165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A1" s="1" t="inlineStr">
        <is>
          <t>CABINET ESTIMATION — PROJECT INFORMATION</t>
        </is>
      </c>
    </row>
    <row r="2" ht="18" customHeight="1">
      <c r="A2" s="2" t="inlineStr">
        <is>
          <t>Casa Familia — Atlantic Pacific Communities</t>
        </is>
      </c>
    </row>
    <row r="4">
      <c r="A4" s="3" t="inlineStr">
        <is>
          <t>Project Name:</t>
        </is>
      </c>
      <c r="B4" s="4" t="inlineStr"/>
    </row>
    <row r="5">
      <c r="A5" s="3" t="inlineStr">
        <is>
          <t>Project ID:</t>
        </is>
      </c>
      <c r="B5" s="4">
        <f>IF(B4&lt;&gt;"","PROJ-"&amp;TEXT(TODAY(),"YYYYMMDD"),"")</f>
        <v/>
      </c>
    </row>
    <row r="6">
      <c r="A6" s="3" t="inlineStr">
        <is>
          <t>Date:</t>
        </is>
      </c>
      <c r="B6" s="5">
        <f>TODAY()</f>
        <v/>
      </c>
    </row>
    <row r="7">
      <c r="A7" s="3" t="inlineStr">
        <is>
          <t>Prepared By:</t>
        </is>
      </c>
      <c r="B7" s="4" t="inlineStr">
        <is>
          <t>Estimation Team</t>
        </is>
      </c>
    </row>
    <row r="9">
      <c r="A9" s="3" t="inlineStr">
        <is>
          <t>Building Type:</t>
        </is>
      </c>
      <c r="B9" s="4" t="inlineStr">
        <is>
          <t>Residential — Type V-A</t>
        </is>
      </c>
    </row>
    <row r="10">
      <c r="A10" s="3" t="inlineStr">
        <is>
          <t>Price List:</t>
        </is>
      </c>
      <c r="B10" s="4" t="inlineStr"/>
    </row>
    <row r="11">
      <c r="A11" s="3" t="inlineStr">
        <is>
          <t>GP Target %:</t>
        </is>
      </c>
      <c r="B11" s="6" t="n">
        <v>0.35</v>
      </c>
    </row>
    <row r="13">
      <c r="A13" s="3" t="inlineStr">
        <is>
          <t>Bldg A Units:</t>
        </is>
      </c>
      <c r="B13" s="4" t="n">
        <v>25</v>
      </c>
    </row>
    <row r="14">
      <c r="A14" s="3" t="inlineStr">
        <is>
          <t>Bldg B Units:</t>
        </is>
      </c>
      <c r="B14" s="4" t="n">
        <v>25</v>
      </c>
    </row>
    <row r="15">
      <c r="A15" s="3" t="inlineStr">
        <is>
          <t>Total Units:</t>
        </is>
      </c>
      <c r="B15" s="4">
        <f>B13+B14</f>
        <v/>
      </c>
    </row>
    <row r="16">
      <c r="A16" s="3" t="inlineStr">
        <is>
          <t>Comm. Center:</t>
        </is>
      </c>
      <c r="B16" s="4" t="n">
        <v>1</v>
      </c>
    </row>
    <row r="18" ht="14" customHeight="1">
      <c r="A18" s="7" t="inlineStr">
        <is>
          <t>NOTE: Blue cells are inputs. Fill in Project Name, Price List tag, and GP % before sending to automation system. Unit counts update automatically.</t>
        </is>
      </c>
    </row>
    <row r="19" ht="14" customHeight="1"/>
    <row r="20" ht="14" customHeight="1"/>
  </sheetData>
  <mergeCells count="3">
    <mergeCell ref="A18:H20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32" customHeight="1">
      <c r="A1" s="8" t="inlineStr">
        <is>
          <t>CABINET MATRIX — UNIT TYPE BREAKDOWN</t>
        </is>
      </c>
    </row>
    <row r="2" ht="16" customHeight="1">
      <c r="A2" s="9">
        <f>'Project Info'!B4&amp;"  |  Project ID: "&amp;'Project Info'!B5&amp;"  |  Total Units: "&amp;'Project Info'!B15</f>
        <v/>
      </c>
    </row>
    <row r="4" ht="22" customHeight="1">
      <c r="A4" s="10" t="inlineStr">
        <is>
          <t>Unit Type</t>
        </is>
      </c>
      <c r="B4" s="10" t="inlineStr">
        <is>
          <t>Unit Count</t>
        </is>
      </c>
      <c r="C4" s="10" t="inlineStr">
        <is>
          <t>Floor(s)</t>
        </is>
      </c>
      <c r="D4" s="11" t="inlineStr">
        <is>
          <t>KITCHEN — Upper Cabinets</t>
        </is>
      </c>
      <c r="H4" s="11" t="inlineStr">
        <is>
          <t>KITCHEN — Lower / Base Cabinets</t>
        </is>
      </c>
      <c r="L4" s="10" t="inlineStr">
        <is>
          <t>Kitchen Totals</t>
        </is>
      </c>
      <c r="N4" s="11" t="inlineStr">
        <is>
          <t>BATH — Vanities</t>
        </is>
      </c>
      <c r="Q4" s="10" t="inlineStr">
        <is>
          <t>Bath Total</t>
        </is>
      </c>
      <c r="R4" s="12" t="inlineStr">
        <is>
          <t>Unit Grand Total</t>
        </is>
      </c>
    </row>
    <row r="5" ht="30" customHeight="1">
      <c r="A5" s="13" t="inlineStr">
        <is>
          <t>Unit Type</t>
        </is>
      </c>
      <c r="B5" s="13" t="inlineStr">
        <is>
          <t>Qty</t>
        </is>
      </c>
      <c r="C5" s="13" t="inlineStr">
        <is>
          <t>Floor(s)</t>
        </is>
      </c>
      <c r="D5" s="14" t="inlineStr">
        <is>
          <t>Wall Cab</t>
        </is>
      </c>
      <c r="E5" s="14" t="inlineStr">
        <is>
          <t>Wall Cab</t>
        </is>
      </c>
      <c r="F5" s="14" t="inlineStr">
        <is>
          <t>Corner Wall</t>
        </is>
      </c>
      <c r="G5" s="14" t="inlineStr">
        <is>
          <t>Specialty</t>
        </is>
      </c>
      <c r="H5" s="14" t="inlineStr">
        <is>
          <t>Base Cab</t>
        </is>
      </c>
      <c r="I5" s="14" t="inlineStr">
        <is>
          <t>Base Cab</t>
        </is>
      </c>
      <c r="J5" s="14" t="inlineStr">
        <is>
          <t>Corner Base</t>
        </is>
      </c>
      <c r="K5" s="14" t="inlineStr">
        <is>
          <t>Specialty</t>
        </is>
      </c>
      <c r="L5" s="15" t="inlineStr">
        <is>
          <t>Kitchen Sub</t>
        </is>
      </c>
      <c r="M5" s="15" t="inlineStr">
        <is>
          <t>Kitchen Total</t>
        </is>
      </c>
      <c r="N5" s="14" t="inlineStr">
        <is>
          <t>Single Van</t>
        </is>
      </c>
      <c r="O5" s="14" t="inlineStr">
        <is>
          <t>Double Van</t>
        </is>
      </c>
      <c r="P5" s="14" t="inlineStr">
        <is>
          <t>Linen/Med</t>
        </is>
      </c>
      <c r="Q5" s="15" t="inlineStr">
        <is>
          <t>Bath Sub</t>
        </is>
      </c>
      <c r="R5" s="16" t="inlineStr">
        <is>
          <t>UNIT TOTAL</t>
        </is>
      </c>
    </row>
    <row r="6" ht="20" customHeight="1">
      <c r="A6" s="17" t="inlineStr">
        <is>
          <t>A1 — 1BR</t>
        </is>
      </c>
      <c r="B6" s="18" t="inlineStr">
        <is>
          <t>14</t>
        </is>
      </c>
      <c r="C6" s="19" t="inlineStr">
        <is>
          <t>Ground/2nd/3rd</t>
        </is>
      </c>
      <c r="D6" s="20" t="n">
        <v>3</v>
      </c>
      <c r="E6" s="20" t="n">
        <v>0</v>
      </c>
      <c r="F6" s="20" t="n">
        <v>1</v>
      </c>
      <c r="G6" s="20" t="n">
        <v>0</v>
      </c>
      <c r="H6" s="20" t="n">
        <v>5</v>
      </c>
      <c r="I6" s="20" t="n">
        <v>0</v>
      </c>
      <c r="J6" s="20" t="n">
        <v>1</v>
      </c>
      <c r="K6" s="20" t="n">
        <v>0</v>
      </c>
      <c r="L6" s="21">
        <f>SUM(D6:K6)</f>
        <v/>
      </c>
      <c r="M6" s="21">
        <f>L6*VALUE(B6)</f>
        <v/>
      </c>
      <c r="N6" s="20" t="n">
        <v>1</v>
      </c>
      <c r="O6" s="20" t="n">
        <v>0</v>
      </c>
      <c r="P6" s="20" t="n">
        <v>1</v>
      </c>
      <c r="Q6" s="21">
        <f>SUM(N6:P6)</f>
        <v/>
      </c>
      <c r="R6" s="22">
        <f>L6+Q6</f>
        <v/>
      </c>
    </row>
    <row r="7" ht="20" customHeight="1">
      <c r="A7" s="23" t="inlineStr">
        <is>
          <t>A2-FA — 1BR Accessible</t>
        </is>
      </c>
      <c r="B7" s="24" t="inlineStr">
        <is>
          <t>6</t>
        </is>
      </c>
      <c r="C7" s="25" t="inlineStr">
        <is>
          <t>Ground/2nd/3rd</t>
        </is>
      </c>
      <c r="D7" s="20" t="n">
        <v>3</v>
      </c>
      <c r="E7" s="20" t="n">
        <v>0</v>
      </c>
      <c r="F7" s="20" t="n">
        <v>1</v>
      </c>
      <c r="G7" s="20" t="n">
        <v>0</v>
      </c>
      <c r="H7" s="20" t="n">
        <v>4</v>
      </c>
      <c r="I7" s="20" t="n">
        <v>0</v>
      </c>
      <c r="J7" s="20" t="n">
        <v>1</v>
      </c>
      <c r="K7" s="20" t="n">
        <v>0</v>
      </c>
      <c r="L7" s="21">
        <f>SUM(D7:K7)</f>
        <v/>
      </c>
      <c r="M7" s="21">
        <f>L7*VALUE(B7)</f>
        <v/>
      </c>
      <c r="N7" s="20" t="n">
        <v>1</v>
      </c>
      <c r="O7" s="20" t="n">
        <v>0</v>
      </c>
      <c r="P7" s="20" t="n">
        <v>1</v>
      </c>
      <c r="Q7" s="21">
        <f>SUM(N7:P7)</f>
        <v/>
      </c>
      <c r="R7" s="22">
        <f>L7+Q7</f>
        <v/>
      </c>
    </row>
    <row r="8" ht="20" customHeight="1">
      <c r="A8" s="17" t="inlineStr">
        <is>
          <t>A3 — 1BR</t>
        </is>
      </c>
      <c r="B8" s="18" t="inlineStr">
        <is>
          <t>6</t>
        </is>
      </c>
      <c r="C8" s="19" t="inlineStr">
        <is>
          <t>Ground/2nd/3rd</t>
        </is>
      </c>
      <c r="D8" s="20" t="n">
        <v>3</v>
      </c>
      <c r="E8" s="20" t="n">
        <v>0</v>
      </c>
      <c r="F8" s="20" t="n">
        <v>0</v>
      </c>
      <c r="G8" s="20" t="n">
        <v>0</v>
      </c>
      <c r="H8" s="20" t="n">
        <v>5</v>
      </c>
      <c r="I8" s="20" t="n">
        <v>0</v>
      </c>
      <c r="J8" s="20" t="n">
        <v>0</v>
      </c>
      <c r="K8" s="20" t="n">
        <v>0</v>
      </c>
      <c r="L8" s="21">
        <f>SUM(D8:K8)</f>
        <v/>
      </c>
      <c r="M8" s="21">
        <f>L8*VALUE(B8)</f>
        <v/>
      </c>
      <c r="N8" s="20" t="n">
        <v>1</v>
      </c>
      <c r="O8" s="20" t="n">
        <v>0</v>
      </c>
      <c r="P8" s="20" t="n">
        <v>0</v>
      </c>
      <c r="Q8" s="21">
        <f>SUM(N8:P8)</f>
        <v/>
      </c>
      <c r="R8" s="22">
        <f>L8+Q8</f>
        <v/>
      </c>
    </row>
    <row r="9" ht="20" customHeight="1">
      <c r="A9" s="23" t="inlineStr">
        <is>
          <t>B1 — 2BR</t>
        </is>
      </c>
      <c r="B9" s="24" t="inlineStr">
        <is>
          <t>12</t>
        </is>
      </c>
      <c r="C9" s="25" t="inlineStr">
        <is>
          <t>Ground/2nd/3rd</t>
        </is>
      </c>
      <c r="D9" s="20" t="n">
        <v>4</v>
      </c>
      <c r="E9" s="20" t="n">
        <v>0</v>
      </c>
      <c r="F9" s="20" t="n">
        <v>1</v>
      </c>
      <c r="G9" s="20" t="n">
        <v>0</v>
      </c>
      <c r="H9" s="20" t="n">
        <v>6</v>
      </c>
      <c r="I9" s="20" t="n">
        <v>0</v>
      </c>
      <c r="J9" s="20" t="n">
        <v>1</v>
      </c>
      <c r="K9" s="20" t="n">
        <v>0</v>
      </c>
      <c r="L9" s="21">
        <f>SUM(D9:K9)</f>
        <v/>
      </c>
      <c r="M9" s="21">
        <f>L9*VALUE(B9)</f>
        <v/>
      </c>
      <c r="N9" s="20" t="n">
        <v>2</v>
      </c>
      <c r="O9" s="20" t="n">
        <v>0</v>
      </c>
      <c r="P9" s="20" t="n">
        <v>1</v>
      </c>
      <c r="Q9" s="21">
        <f>SUM(N9:P9)</f>
        <v/>
      </c>
      <c r="R9" s="22">
        <f>L9+Q9</f>
        <v/>
      </c>
    </row>
    <row r="10" ht="20" customHeight="1">
      <c r="A10" s="17" t="inlineStr">
        <is>
          <t>B2-FA — 2BR Accessible</t>
        </is>
      </c>
      <c r="B10" s="18" t="inlineStr">
        <is>
          <t>6</t>
        </is>
      </c>
      <c r="C10" s="19" t="inlineStr">
        <is>
          <t>Ground/2nd/3rd</t>
        </is>
      </c>
      <c r="D10" s="20" t="n">
        <v>4</v>
      </c>
      <c r="E10" s="20" t="n">
        <v>0</v>
      </c>
      <c r="F10" s="20" t="n">
        <v>1</v>
      </c>
      <c r="G10" s="20" t="n">
        <v>0</v>
      </c>
      <c r="H10" s="20" t="n">
        <v>5</v>
      </c>
      <c r="I10" s="20" t="n">
        <v>0</v>
      </c>
      <c r="J10" s="20" t="n">
        <v>1</v>
      </c>
      <c r="K10" s="20" t="n">
        <v>0</v>
      </c>
      <c r="L10" s="21">
        <f>SUM(D10:K10)</f>
        <v/>
      </c>
      <c r="M10" s="21">
        <f>L10*VALUE(B10)</f>
        <v/>
      </c>
      <c r="N10" s="20" t="n">
        <v>2</v>
      </c>
      <c r="O10" s="20" t="n">
        <v>0</v>
      </c>
      <c r="P10" s="20" t="n">
        <v>1</v>
      </c>
      <c r="Q10" s="21">
        <f>SUM(N10:P10)</f>
        <v/>
      </c>
      <c r="R10" s="22">
        <f>L10+Q10</f>
        <v/>
      </c>
    </row>
    <row r="11" ht="20" customHeight="1">
      <c r="A11" s="23" t="inlineStr">
        <is>
          <t>B3 — 2BR</t>
        </is>
      </c>
      <c r="B11" s="24" t="inlineStr">
        <is>
          <t>6</t>
        </is>
      </c>
      <c r="C11" s="25" t="inlineStr">
        <is>
          <t>Ground/2nd/3rd</t>
        </is>
      </c>
      <c r="D11" s="20" t="n">
        <v>4</v>
      </c>
      <c r="E11" s="20" t="n">
        <v>0</v>
      </c>
      <c r="F11" s="20" t="n">
        <v>0</v>
      </c>
      <c r="G11" s="20" t="n">
        <v>0</v>
      </c>
      <c r="H11" s="20" t="n">
        <v>6</v>
      </c>
      <c r="I11" s="20" t="n">
        <v>0</v>
      </c>
      <c r="J11" s="20" t="n">
        <v>0</v>
      </c>
      <c r="K11" s="20" t="n">
        <v>0</v>
      </c>
      <c r="L11" s="21">
        <f>SUM(D11:K11)</f>
        <v/>
      </c>
      <c r="M11" s="21">
        <f>L11*VALUE(B11)</f>
        <v/>
      </c>
      <c r="N11" s="20" t="n">
        <v>2</v>
      </c>
      <c r="O11" s="20" t="n">
        <v>0</v>
      </c>
      <c r="P11" s="20" t="n">
        <v>1</v>
      </c>
      <c r="Q11" s="21">
        <f>SUM(N11:P11)</f>
        <v/>
      </c>
      <c r="R11" s="22">
        <f>L11+Q11</f>
        <v/>
      </c>
    </row>
    <row r="12" ht="24" customHeight="1">
      <c r="A12" s="26" t="inlineStr">
        <is>
          <t>PROJECT TOTALS</t>
        </is>
      </c>
      <c r="B12" s="27" t="n"/>
      <c r="C12" s="28" t="n"/>
      <c r="D12" s="26">
        <f>SUMPRODUCT((D6:D11)*VALUE(B6:B11))</f>
        <v/>
      </c>
      <c r="E12" s="26">
        <f>SUMPRODUCT((E6:E11)*VALUE(B6:B11))</f>
        <v/>
      </c>
      <c r="F12" s="26">
        <f>SUMPRODUCT((F6:F11)*VALUE(B6:B11))</f>
        <v/>
      </c>
      <c r="G12" s="26">
        <f>SUMPRODUCT((G6:G11)*VALUE(B6:B11))</f>
        <v/>
      </c>
      <c r="H12" s="26">
        <f>SUMPRODUCT((H6:H11)*VALUE(B6:B11))</f>
        <v/>
      </c>
      <c r="I12" s="26">
        <f>SUMPRODUCT((I6:I11)*VALUE(B6:B11))</f>
        <v/>
      </c>
      <c r="J12" s="26">
        <f>SUMPRODUCT((J6:J11)*VALUE(B6:B11))</f>
        <v/>
      </c>
      <c r="K12" s="26">
        <f>SUMPRODUCT((K6:K11)*VALUE(B6:B11))</f>
        <v/>
      </c>
      <c r="L12" s="26">
        <f>SUM(L6:L11)</f>
        <v/>
      </c>
      <c r="M12" s="26">
        <f>SUM(M6:M11)</f>
        <v/>
      </c>
      <c r="N12" s="26">
        <f>SUMPRODUCT((N6:N11)*VALUE(B6:B11))</f>
        <v/>
      </c>
      <c r="O12" s="26">
        <f>SUMPRODUCT((O6:O11)*VALUE(B6:B11))</f>
        <v/>
      </c>
      <c r="P12" s="26">
        <f>SUMPRODUCT((P6:P11)*VALUE(B6:B11))</f>
        <v/>
      </c>
      <c r="Q12" s="26">
        <f>SUM(Q6:Q11)</f>
        <v/>
      </c>
      <c r="R12" s="26">
        <f>SUM(R6:R11)</f>
        <v/>
      </c>
    </row>
  </sheetData>
  <mergeCells count="9">
    <mergeCell ref="H4:K4"/>
    <mergeCell ref="R4"/>
    <mergeCell ref="Q4"/>
    <mergeCell ref="L4:M4"/>
    <mergeCell ref="A2:R2"/>
    <mergeCell ref="A1:R1"/>
    <mergeCell ref="N4:P4"/>
    <mergeCell ref="A12:C12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1" customWidth="1" min="4" max="4"/>
    <col width="12" customWidth="1" min="5" max="5"/>
    <col width="11" customWidth="1" min="6" max="6"/>
    <col width="14" customWidth="1" min="7" max="7"/>
    <col width="14" customWidth="1" min="8" max="8"/>
    <col width="20" customWidth="1" min="9" max="9"/>
  </cols>
  <sheetData>
    <row r="1" ht="30" customHeight="1">
      <c r="A1" s="8" t="inlineStr">
        <is>
          <t>CABINET LIBRARY — STANDARD SPECIFICATIONS</t>
        </is>
      </c>
    </row>
    <row r="2" ht="22" customHeight="1">
      <c r="A2" s="10" t="inlineStr">
        <is>
          <t>Cabinet Code</t>
        </is>
      </c>
      <c r="B2" s="10" t="inlineStr">
        <is>
          <t>Description</t>
        </is>
      </c>
      <c r="C2" s="10" t="inlineStr">
        <is>
          <t>Type</t>
        </is>
      </c>
      <c r="D2" s="10" t="inlineStr">
        <is>
          <t>Width (in)</t>
        </is>
      </c>
      <c r="E2" s="10" t="inlineStr">
        <is>
          <t>Height (in)</t>
        </is>
      </c>
      <c r="F2" s="10" t="inlineStr">
        <is>
          <t>Depth (in)</t>
        </is>
      </c>
      <c r="G2" s="10" t="inlineStr">
        <is>
          <t>Finish Tier</t>
        </is>
      </c>
      <c r="H2" s="10" t="inlineStr">
        <is>
          <t>Door Style</t>
        </is>
      </c>
      <c r="I2" s="10" t="inlineStr">
        <is>
          <t>Notes</t>
        </is>
      </c>
    </row>
    <row r="3" ht="18" customHeight="1">
      <c r="A3" s="25" t="inlineStr">
        <is>
          <t>W3012</t>
        </is>
      </c>
      <c r="B3" s="25" t="inlineStr">
        <is>
          <t>Wall Cabinet 30W x 12H</t>
        </is>
      </c>
      <c r="C3" s="25" t="inlineStr">
        <is>
          <t>Upper</t>
        </is>
      </c>
      <c r="D3" s="24" t="n">
        <v>30</v>
      </c>
      <c r="E3" s="24" t="n">
        <v>12</v>
      </c>
      <c r="F3" s="24" t="n">
        <v>12</v>
      </c>
      <c r="G3" s="24" t="inlineStr">
        <is>
          <t>Standard 1</t>
        </is>
      </c>
      <c r="H3" s="24" t="inlineStr">
        <is>
          <t>Shaker</t>
        </is>
      </c>
      <c r="I3" s="25" t="inlineStr"/>
    </row>
    <row r="4" ht="18" customHeight="1">
      <c r="A4" s="19" t="inlineStr">
        <is>
          <t>W3618</t>
        </is>
      </c>
      <c r="B4" s="19" t="inlineStr">
        <is>
          <t>Wall Cabinet 36W x 18H</t>
        </is>
      </c>
      <c r="C4" s="19" t="inlineStr">
        <is>
          <t>Upper</t>
        </is>
      </c>
      <c r="D4" s="18" t="n">
        <v>36</v>
      </c>
      <c r="E4" s="18" t="n">
        <v>18</v>
      </c>
      <c r="F4" s="18" t="n">
        <v>12</v>
      </c>
      <c r="G4" s="18" t="inlineStr">
        <is>
          <t>Standard 1</t>
        </is>
      </c>
      <c r="H4" s="18" t="inlineStr">
        <is>
          <t>Shaker</t>
        </is>
      </c>
      <c r="I4" s="19" t="inlineStr"/>
    </row>
    <row r="5" ht="18" customHeight="1">
      <c r="A5" s="25" t="inlineStr">
        <is>
          <t>W3630</t>
        </is>
      </c>
      <c r="B5" s="25" t="inlineStr">
        <is>
          <t>Wall Cabinet 36W x 30H</t>
        </is>
      </c>
      <c r="C5" s="25" t="inlineStr">
        <is>
          <t>Upper</t>
        </is>
      </c>
      <c r="D5" s="24" t="n">
        <v>36</v>
      </c>
      <c r="E5" s="24" t="n">
        <v>30</v>
      </c>
      <c r="F5" s="24" t="n">
        <v>12</v>
      </c>
      <c r="G5" s="24" t="inlineStr">
        <is>
          <t>Standard 1</t>
        </is>
      </c>
      <c r="H5" s="24" t="inlineStr">
        <is>
          <t>Shaker</t>
        </is>
      </c>
      <c r="I5" s="25" t="inlineStr"/>
    </row>
    <row r="6" ht="18" customHeight="1">
      <c r="A6" s="19" t="inlineStr">
        <is>
          <t>W3042</t>
        </is>
      </c>
      <c r="B6" s="19" t="inlineStr">
        <is>
          <t>Wall Cabinet 30W x 42H</t>
        </is>
      </c>
      <c r="C6" s="19" t="inlineStr">
        <is>
          <t>Upper</t>
        </is>
      </c>
      <c r="D6" s="18" t="n">
        <v>30</v>
      </c>
      <c r="E6" s="18" t="n">
        <v>42</v>
      </c>
      <c r="F6" s="18" t="n">
        <v>12</v>
      </c>
      <c r="G6" s="18" t="inlineStr">
        <is>
          <t>Standard 1</t>
        </is>
      </c>
      <c r="H6" s="18" t="inlineStr">
        <is>
          <t>Shaker</t>
        </is>
      </c>
      <c r="I6" s="19" t="inlineStr">
        <is>
          <t>Over fridge</t>
        </is>
      </c>
    </row>
    <row r="7" ht="18" customHeight="1">
      <c r="A7" s="25" t="inlineStr">
        <is>
          <t>WC2430</t>
        </is>
      </c>
      <c r="B7" s="25" t="inlineStr">
        <is>
          <t>Corner Wall Cabinet 24W</t>
        </is>
      </c>
      <c r="C7" s="25" t="inlineStr">
        <is>
          <t>Upper</t>
        </is>
      </c>
      <c r="D7" s="24" t="n">
        <v>24</v>
      </c>
      <c r="E7" s="24" t="n">
        <v>30</v>
      </c>
      <c r="F7" s="24" t="n">
        <v>12</v>
      </c>
      <c r="G7" s="24" t="inlineStr">
        <is>
          <t>Standard 1</t>
        </is>
      </c>
      <c r="H7" s="24" t="inlineStr">
        <is>
          <t>Shaker</t>
        </is>
      </c>
      <c r="I7" s="25" t="inlineStr">
        <is>
          <t>Blind corner</t>
        </is>
      </c>
    </row>
    <row r="8" ht="18" customHeight="1">
      <c r="A8" s="19" t="inlineStr">
        <is>
          <t>B36</t>
        </is>
      </c>
      <c r="B8" s="19" t="inlineStr">
        <is>
          <t>Base Cabinet 36W</t>
        </is>
      </c>
      <c r="C8" s="19" t="inlineStr">
        <is>
          <t>Lower</t>
        </is>
      </c>
      <c r="D8" s="18" t="n">
        <v>36</v>
      </c>
      <c r="E8" s="18" t="n">
        <v>34.5</v>
      </c>
      <c r="F8" s="18" t="n">
        <v>24</v>
      </c>
      <c r="G8" s="18" t="inlineStr">
        <is>
          <t>Standard 1</t>
        </is>
      </c>
      <c r="H8" s="18" t="inlineStr">
        <is>
          <t>Shaker</t>
        </is>
      </c>
      <c r="I8" s="19" t="inlineStr"/>
    </row>
    <row r="9" ht="18" customHeight="1">
      <c r="A9" s="25" t="inlineStr">
        <is>
          <t>B30</t>
        </is>
      </c>
      <c r="B9" s="25" t="inlineStr">
        <is>
          <t>Base Cabinet 30W</t>
        </is>
      </c>
      <c r="C9" s="25" t="inlineStr">
        <is>
          <t>Lower</t>
        </is>
      </c>
      <c r="D9" s="24" t="n">
        <v>30</v>
      </c>
      <c r="E9" s="24" t="n">
        <v>34.5</v>
      </c>
      <c r="F9" s="24" t="n">
        <v>24</v>
      </c>
      <c r="G9" s="24" t="inlineStr">
        <is>
          <t>Standard 1</t>
        </is>
      </c>
      <c r="H9" s="24" t="inlineStr">
        <is>
          <t>Shaker</t>
        </is>
      </c>
      <c r="I9" s="25" t="inlineStr"/>
    </row>
    <row r="10" ht="18" customHeight="1">
      <c r="A10" s="19" t="inlineStr">
        <is>
          <t>B24</t>
        </is>
      </c>
      <c r="B10" s="19" t="inlineStr">
        <is>
          <t>Base Cabinet 24W</t>
        </is>
      </c>
      <c r="C10" s="19" t="inlineStr">
        <is>
          <t>Lower</t>
        </is>
      </c>
      <c r="D10" s="18" t="n">
        <v>24</v>
      </c>
      <c r="E10" s="18" t="n">
        <v>34.5</v>
      </c>
      <c r="F10" s="18" t="n">
        <v>24</v>
      </c>
      <c r="G10" s="18" t="inlineStr">
        <is>
          <t>Standard 1</t>
        </is>
      </c>
      <c r="H10" s="18" t="inlineStr">
        <is>
          <t>Shaker</t>
        </is>
      </c>
      <c r="I10" s="19" t="inlineStr"/>
    </row>
    <row r="11" ht="18" customHeight="1">
      <c r="A11" s="25" t="inlineStr">
        <is>
          <t>B18</t>
        </is>
      </c>
      <c r="B11" s="25" t="inlineStr">
        <is>
          <t>Base Cabinet 18W</t>
        </is>
      </c>
      <c r="C11" s="25" t="inlineStr">
        <is>
          <t>Lower</t>
        </is>
      </c>
      <c r="D11" s="24" t="n">
        <v>18</v>
      </c>
      <c r="E11" s="24" t="n">
        <v>34.5</v>
      </c>
      <c r="F11" s="24" t="n">
        <v>24</v>
      </c>
      <c r="G11" s="24" t="inlineStr">
        <is>
          <t>Standard 1</t>
        </is>
      </c>
      <c r="H11" s="24" t="inlineStr">
        <is>
          <t>Shaker</t>
        </is>
      </c>
      <c r="I11" s="25" t="inlineStr"/>
    </row>
    <row r="12" ht="18" customHeight="1">
      <c r="A12" s="19" t="inlineStr">
        <is>
          <t>BC36</t>
        </is>
      </c>
      <c r="B12" s="19" t="inlineStr">
        <is>
          <t>Corner Base Cabinet</t>
        </is>
      </c>
      <c r="C12" s="19" t="inlineStr">
        <is>
          <t>Lower</t>
        </is>
      </c>
      <c r="D12" s="18" t="n">
        <v>36</v>
      </c>
      <c r="E12" s="18" t="n">
        <v>34.5</v>
      </c>
      <c r="F12" s="18" t="n">
        <v>24</v>
      </c>
      <c r="G12" s="18" t="inlineStr">
        <is>
          <t>Standard 1</t>
        </is>
      </c>
      <c r="H12" s="18" t="inlineStr">
        <is>
          <t>Shaker</t>
        </is>
      </c>
      <c r="I12" s="19" t="inlineStr">
        <is>
          <t>Lazy susan option</t>
        </is>
      </c>
    </row>
    <row r="13" ht="18" customHeight="1">
      <c r="A13" s="25" t="inlineStr">
        <is>
          <t>T1884</t>
        </is>
      </c>
      <c r="B13" s="25" t="inlineStr">
        <is>
          <t>Tall Pantry 18W x 84H</t>
        </is>
      </c>
      <c r="C13" s="25" t="inlineStr">
        <is>
          <t>Tall</t>
        </is>
      </c>
      <c r="D13" s="24" t="n">
        <v>18</v>
      </c>
      <c r="E13" s="24" t="n">
        <v>84</v>
      </c>
      <c r="F13" s="24" t="n">
        <v>24</v>
      </c>
      <c r="G13" s="24" t="inlineStr">
        <is>
          <t>Standard 1</t>
        </is>
      </c>
      <c r="H13" s="24" t="inlineStr">
        <is>
          <t>Shaker</t>
        </is>
      </c>
      <c r="I13" s="25" t="inlineStr"/>
    </row>
    <row r="14" ht="18" customHeight="1">
      <c r="A14" s="19" t="inlineStr">
        <is>
          <t>T2484</t>
        </is>
      </c>
      <c r="B14" s="19" t="inlineStr">
        <is>
          <t>Tall Pantry 24W x 84H</t>
        </is>
      </c>
      <c r="C14" s="19" t="inlineStr">
        <is>
          <t>Tall</t>
        </is>
      </c>
      <c r="D14" s="18" t="n">
        <v>24</v>
      </c>
      <c r="E14" s="18" t="n">
        <v>84</v>
      </c>
      <c r="F14" s="18" t="n">
        <v>24</v>
      </c>
      <c r="G14" s="18" t="inlineStr">
        <is>
          <t>Standard 1</t>
        </is>
      </c>
      <c r="H14" s="18" t="inlineStr">
        <is>
          <t>Shaker</t>
        </is>
      </c>
      <c r="I14" s="19" t="inlineStr"/>
    </row>
    <row r="15" ht="18" customHeight="1">
      <c r="A15" s="25" t="inlineStr">
        <is>
          <t>T2490</t>
        </is>
      </c>
      <c r="B15" s="25" t="inlineStr">
        <is>
          <t>Tall Utility 24W x 90H</t>
        </is>
      </c>
      <c r="C15" s="25" t="inlineStr">
        <is>
          <t>Tall</t>
        </is>
      </c>
      <c r="D15" s="24" t="n">
        <v>24</v>
      </c>
      <c r="E15" s="24" t="n">
        <v>90</v>
      </c>
      <c r="F15" s="24" t="n">
        <v>24</v>
      </c>
      <c r="G15" s="24" t="inlineStr">
        <is>
          <t>Standard 1</t>
        </is>
      </c>
      <c r="H15" s="24" t="inlineStr">
        <is>
          <t>Shaker</t>
        </is>
      </c>
      <c r="I15" s="25" t="inlineStr"/>
    </row>
    <row r="16" ht="18" customHeight="1">
      <c r="A16" s="19" t="inlineStr">
        <is>
          <t>VAN24</t>
        </is>
      </c>
      <c r="B16" s="19" t="inlineStr">
        <is>
          <t>Bath Vanity 24W</t>
        </is>
      </c>
      <c r="C16" s="19" t="inlineStr">
        <is>
          <t>Vanity</t>
        </is>
      </c>
      <c r="D16" s="18" t="n">
        <v>24</v>
      </c>
      <c r="E16" s="18" t="n">
        <v>34.5</v>
      </c>
      <c r="F16" s="18" t="n">
        <v>21</v>
      </c>
      <c r="G16" s="18" t="inlineStr">
        <is>
          <t>Standard 1</t>
        </is>
      </c>
      <c r="H16" s="18" t="inlineStr">
        <is>
          <t>Shaker</t>
        </is>
      </c>
      <c r="I16" s="19" t="inlineStr">
        <is>
          <t>Single sink</t>
        </is>
      </c>
    </row>
    <row r="17" ht="18" customHeight="1">
      <c r="A17" s="25" t="inlineStr">
        <is>
          <t>VAN30</t>
        </is>
      </c>
      <c r="B17" s="25" t="inlineStr">
        <is>
          <t>Bath Vanity 30W</t>
        </is>
      </c>
      <c r="C17" s="25" t="inlineStr">
        <is>
          <t>Vanity</t>
        </is>
      </c>
      <c r="D17" s="24" t="n">
        <v>30</v>
      </c>
      <c r="E17" s="24" t="n">
        <v>34.5</v>
      </c>
      <c r="F17" s="24" t="n">
        <v>21</v>
      </c>
      <c r="G17" s="24" t="inlineStr">
        <is>
          <t>Standard 1</t>
        </is>
      </c>
      <c r="H17" s="24" t="inlineStr">
        <is>
          <t>Shaker</t>
        </is>
      </c>
      <c r="I17" s="25" t="inlineStr">
        <is>
          <t>Single sink</t>
        </is>
      </c>
    </row>
    <row r="18" ht="18" customHeight="1">
      <c r="A18" s="19" t="inlineStr">
        <is>
          <t>VAN36</t>
        </is>
      </c>
      <c r="B18" s="19" t="inlineStr">
        <is>
          <t>Bath Vanity 36W</t>
        </is>
      </c>
      <c r="C18" s="19" t="inlineStr">
        <is>
          <t>Vanity</t>
        </is>
      </c>
      <c r="D18" s="18" t="n">
        <v>36</v>
      </c>
      <c r="E18" s="18" t="n">
        <v>34.5</v>
      </c>
      <c r="F18" s="18" t="n">
        <v>21</v>
      </c>
      <c r="G18" s="18" t="inlineStr">
        <is>
          <t>Standard 1</t>
        </is>
      </c>
      <c r="H18" s="18" t="inlineStr">
        <is>
          <t>Shaker</t>
        </is>
      </c>
      <c r="I18" s="19" t="inlineStr">
        <is>
          <t>Single sink</t>
        </is>
      </c>
    </row>
    <row r="19" ht="18" customHeight="1">
      <c r="A19" s="25" t="inlineStr">
        <is>
          <t>VAN48</t>
        </is>
      </c>
      <c r="B19" s="25" t="inlineStr">
        <is>
          <t>Bath Vanity 48W</t>
        </is>
      </c>
      <c r="C19" s="25" t="inlineStr">
        <is>
          <t>Vanity</t>
        </is>
      </c>
      <c r="D19" s="24" t="n">
        <v>48</v>
      </c>
      <c r="E19" s="24" t="n">
        <v>34.5</v>
      </c>
      <c r="F19" s="24" t="n">
        <v>21</v>
      </c>
      <c r="G19" s="24" t="inlineStr">
        <is>
          <t>Standard 1</t>
        </is>
      </c>
      <c r="H19" s="24" t="inlineStr">
        <is>
          <t>Shaker</t>
        </is>
      </c>
      <c r="I19" s="25" t="inlineStr">
        <is>
          <t>Double sink</t>
        </is>
      </c>
    </row>
    <row r="20" ht="18" customHeight="1">
      <c r="A20" s="19" t="inlineStr">
        <is>
          <t>VAN60</t>
        </is>
      </c>
      <c r="B20" s="19" t="inlineStr">
        <is>
          <t>Bath Vanity 60W</t>
        </is>
      </c>
      <c r="C20" s="19" t="inlineStr">
        <is>
          <t>Vanity</t>
        </is>
      </c>
      <c r="D20" s="18" t="n">
        <v>60</v>
      </c>
      <c r="E20" s="18" t="n">
        <v>34.5</v>
      </c>
      <c r="F20" s="18" t="n">
        <v>21</v>
      </c>
      <c r="G20" s="18" t="inlineStr">
        <is>
          <t>Standard 1</t>
        </is>
      </c>
      <c r="H20" s="18" t="inlineStr">
        <is>
          <t>Shaker</t>
        </is>
      </c>
      <c r="I20" s="19" t="inlineStr">
        <is>
          <t>Double sink</t>
        </is>
      </c>
    </row>
    <row r="21" ht="18" customHeight="1">
      <c r="A21" s="25" t="inlineStr">
        <is>
          <t>MED24</t>
        </is>
      </c>
      <c r="B21" s="25" t="inlineStr">
        <is>
          <t>Medicine Cabinet 24W</t>
        </is>
      </c>
      <c r="C21" s="25" t="inlineStr">
        <is>
          <t>Bath</t>
        </is>
      </c>
      <c r="D21" s="24" t="n">
        <v>24</v>
      </c>
      <c r="E21" s="24" t="n">
        <v>30</v>
      </c>
      <c r="F21" s="24" t="n">
        <v>4</v>
      </c>
      <c r="G21" s="24" t="inlineStr">
        <is>
          <t>Standard 1</t>
        </is>
      </c>
      <c r="H21" s="24" t="inlineStr">
        <is>
          <t>Mirror</t>
        </is>
      </c>
      <c r="I21" s="25" t="inlineStr">
        <is>
          <t>Surface mount</t>
        </is>
      </c>
    </row>
    <row r="22" ht="18" customHeight="1">
      <c r="A22" s="19" t="inlineStr">
        <is>
          <t>LIN18</t>
        </is>
      </c>
      <c r="B22" s="19" t="inlineStr">
        <is>
          <t>Linen Cabinet 18W x 84H</t>
        </is>
      </c>
      <c r="C22" s="19" t="inlineStr">
        <is>
          <t>Bath</t>
        </is>
      </c>
      <c r="D22" s="18" t="n">
        <v>18</v>
      </c>
      <c r="E22" s="18" t="n">
        <v>84</v>
      </c>
      <c r="F22" s="18" t="n">
        <v>18</v>
      </c>
      <c r="G22" s="18" t="inlineStr">
        <is>
          <t>Standard 1</t>
        </is>
      </c>
      <c r="H22" s="18" t="inlineStr">
        <is>
          <t>Shaker</t>
        </is>
      </c>
      <c r="I22" s="19" t="inlineStr"/>
    </row>
  </sheetData>
  <mergeCells count="1">
    <mergeCell ref="A1:I1"/>
  </mergeCells>
  <dataValidations count="1">
    <dataValidation sqref="G3 G4 G5 G6 G7 G8 G9 G10 G11 G12 G13 G14 G15 G16 G17 G18 G19 G20 G21 G22" showDropDown="0" showInputMessage="0" showErrorMessage="0" allowBlank="0" type="list">
      <formula1>"Standard 1,Standard 2,Standard 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 ht="30" customHeight="1">
      <c r="A1" s="8" t="inlineStr">
        <is>
          <t>CABINET COUNT SUMMARY</t>
        </is>
      </c>
    </row>
    <row r="3" ht="20" customHeight="1">
      <c r="A3" s="29" t="inlineStr">
        <is>
          <t>Project Name</t>
        </is>
      </c>
      <c r="B3" s="30">
        <f>'Project Info'!B4</f>
        <v/>
      </c>
    </row>
    <row r="4" ht="20" customHeight="1">
      <c r="A4" s="29" t="inlineStr">
        <is>
          <t>Date</t>
        </is>
      </c>
      <c r="B4" s="31">
        <f>'Project Info'!B6</f>
        <v/>
      </c>
    </row>
    <row r="5" ht="20" customHeight="1">
      <c r="A5" s="29" t="inlineStr">
        <is>
          <t>Total Residential Units</t>
        </is>
      </c>
      <c r="B5" s="30">
        <f>'Project Info'!B15</f>
        <v/>
      </c>
    </row>
    <row r="6" ht="20" customHeight="1">
      <c r="A6" s="29" t="inlineStr">
        <is>
          <t>Total Kitchen Cabinets</t>
        </is>
      </c>
      <c r="B6" s="30">
        <f>'Cabinet Matrix'!M12</f>
        <v/>
      </c>
    </row>
    <row r="7" ht="20" customHeight="1">
      <c r="A7" s="29" t="inlineStr">
        <is>
          <t>Total Bath Cabinets</t>
        </is>
      </c>
      <c r="B7" s="30">
        <f>'Cabinet Matrix'!Q12</f>
        <v/>
      </c>
    </row>
    <row r="8" ht="20" customHeight="1">
      <c r="A8" s="29" t="inlineStr">
        <is>
          <t>GRAND TOTAL CABINETS</t>
        </is>
      </c>
      <c r="B8" s="30">
        <f>'Cabinet Matrix'!R12</f>
        <v/>
      </c>
    </row>
    <row r="9" ht="20" customHeight="1">
      <c r="A9" s="29" t="inlineStr">
        <is>
          <t>Price List</t>
        </is>
      </c>
      <c r="B9" s="32">
        <f>'Project Info'!B10</f>
        <v/>
      </c>
    </row>
    <row r="10" ht="20" customHeight="1">
      <c r="A10" s="29" t="inlineStr">
        <is>
          <t>Target GP %</t>
        </is>
      </c>
      <c r="B10" s="33">
        <f>'Project Info'!B11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2026-06-10T03:50:45Z</dcterms:created>
  <dcterms:modified xmlns:dcterms="http://purl.org/dc/terms/" xmlns:xsi="http://www.w3.org/2001/XMLSchema-instance" xsi:type="dcterms:W3CDTF">2026-06-10T03:50:45Z</dcterms:modified>
</cp:coreProperties>
</file>