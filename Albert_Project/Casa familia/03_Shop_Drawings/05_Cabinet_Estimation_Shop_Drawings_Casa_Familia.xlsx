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" sheetId="1" state="visible" r:id="rId1"/>
    <sheet xmlns:r="http://schemas.openxmlformats.org/officeDocument/2006/relationships" name="Cabinet Matrix" sheetId="2" state="visible" r:id="rId2"/>
    <sheet xmlns:r="http://schemas.openxmlformats.org/officeDocument/2006/relationships" name="Cabinet Library" sheetId="3" state="visible" r:id="rId3"/>
    <sheet xmlns:r="http://schemas.openxmlformats.org/officeDocument/2006/relationships" name="Job Costing" sheetId="4" state="visible" r:id="rId4"/>
    <sheet xmlns:r="http://schemas.openxmlformats.org/officeDocument/2006/relationships" name="Shop Drawing - A1" sheetId="5" state="visible" r:id="rId5"/>
    <sheet xmlns:r="http://schemas.openxmlformats.org/officeDocument/2006/relationships" name="Shop Drawing - A2-FA" sheetId="6" state="visible" r:id="rId6"/>
    <sheet xmlns:r="http://schemas.openxmlformats.org/officeDocument/2006/relationships" name="Shop Drawing - A3" sheetId="7" state="visible" r:id="rId7"/>
    <sheet xmlns:r="http://schemas.openxmlformats.org/officeDocument/2006/relationships" name="Shop Drawing - B1" sheetId="8" state="visible" r:id="rId8"/>
    <sheet xmlns:r="http://schemas.openxmlformats.org/officeDocument/2006/relationships" name="Shop Drawing - B2-FA" sheetId="9" state="visible" r:id="rId9"/>
    <sheet xmlns:r="http://schemas.openxmlformats.org/officeDocument/2006/relationships" name="Shop Drawing - B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B365D"/>
      <sz val="16"/>
    </font>
    <font>
      <name val="Arial"/>
      <i val="1"/>
      <sz val="8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B365D"/>
      <sz val="12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1B365D"/>
        <bgColor rgb="001B365D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D3D3D3"/>
      </top>
      <bottom style="double">
        <color rgb="001B365D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4" fillId="0" borderId="0" pivotButton="0" quotePrefix="0" xfId="0"/>
    <xf numFmtId="164" fontId="4" fillId="2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5" borderId="2" applyAlignment="1" pivotButton="0" quotePrefix="0" xfId="0">
      <alignment horizontal="left" vertical="center"/>
    </xf>
    <xf numFmtId="0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165" fontId="4" fillId="0" borderId="0" pivotButton="0" quotePrefix="0" xfId="0"/>
    <xf numFmtId="165" fontId="3" fillId="0" borderId="0" pivotButton="0" quotePrefix="0" xfId="0"/>
    <xf numFmtId="0" fontId="3" fillId="5" borderId="1" pivotButton="0" quotePrefix="0" xfId="0"/>
    <xf numFmtId="0" fontId="4" fillId="0" borderId="1" pivotButton="0" quotePrefix="0" xfId="0"/>
    <xf numFmtId="166" fontId="3" fillId="0" borderId="1" pivotButton="0" quotePrefix="0" xfId="0"/>
    <xf numFmtId="0" fontId="0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0" fillId="5" borderId="1" pivotButton="0" quotePrefix="0" xfId="0"/>
    <xf numFmtId="166" fontId="3" fillId="5" borderId="1" pivotButton="0" quotePrefix="0" xfId="0"/>
    <xf numFmtId="166" fontId="4" fillId="0" borderId="0" pivotButton="0" quotePrefix="0" xfId="0"/>
    <xf numFmtId="164" fontId="4" fillId="0" borderId="0" pivotButton="0" quotePrefix="0" xfId="0"/>
    <xf numFmtId="166" fontId="1" fillId="3" borderId="0" pivotButton="0" quotePrefix="0" xfId="0"/>
    <xf numFmtId="166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0" fontId="0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ESTIMATION — PROJECT INFORMATION</t>
        </is>
      </c>
    </row>
    <row r="2">
      <c r="A2" s="2" t="inlineStr">
        <is>
          <t>Casa Familia — Atlantic Pacific Communities</t>
        </is>
      </c>
    </row>
    <row r="4">
      <c r="A4" s="3" t="inlineStr">
        <is>
          <t>Project Name:</t>
        </is>
      </c>
      <c r="B4" s="4" t="inlineStr">
        <is>
          <t>Casa Familia</t>
        </is>
      </c>
    </row>
    <row r="5">
      <c r="A5" s="3" t="inlineStr">
        <is>
          <t>Project ID:</t>
        </is>
      </c>
      <c r="B5" s="4" t="inlineStr">
        <is>
          <t>23-033</t>
        </is>
      </c>
    </row>
    <row r="6">
      <c r="A6" s="3" t="inlineStr">
        <is>
          <t>Date:</t>
        </is>
      </c>
      <c r="B6" s="5">
        <f>TODAY()</f>
        <v/>
      </c>
    </row>
    <row r="7">
      <c r="A7" s="3" t="inlineStr">
        <is>
          <t>Prepared By:</t>
        </is>
      </c>
      <c r="B7" s="5" t="inlineStr">
        <is>
          <t>AI Estimation System</t>
        </is>
      </c>
    </row>
    <row r="8">
      <c r="A8" s="3" t="inlineStr">
        <is>
          <t>Building Type:</t>
        </is>
      </c>
      <c r="B8" s="5" t="inlineStr">
        <is>
          <t>Residential — Type V-A</t>
        </is>
      </c>
    </row>
    <row r="9">
      <c r="A9" s="3" t="inlineStr">
        <is>
          <t>Price List Used:</t>
        </is>
      </c>
      <c r="B9" s="4" t="inlineStr">
        <is>
          <t>MS PRICE LIST LEVEL 1 -90CM</t>
        </is>
      </c>
    </row>
    <row r="10">
      <c r="A10" s="3" t="inlineStr">
        <is>
          <t>GP Target %:</t>
        </is>
      </c>
      <c r="B10" s="6" t="n">
        <v>0.35</v>
      </c>
    </row>
    <row r="11">
      <c r="A11" s="3" t="inlineStr">
        <is>
          <t>Total Units:</t>
        </is>
      </c>
      <c r="B11" s="7">
        <f>SUM('Cabinet Matrix'!B6:B11)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MATRIX — UNIT TYPE BREAKDOWN</t>
        </is>
      </c>
    </row>
    <row r="4">
      <c r="A4" s="8" t="inlineStr">
        <is>
          <t>Unit Type</t>
        </is>
      </c>
      <c r="B4" s="8" t="inlineStr">
        <is>
          <t>Qty</t>
        </is>
      </c>
      <c r="C4" s="8" t="inlineStr">
        <is>
          <t>Floor(s)</t>
        </is>
      </c>
      <c r="D4" s="8" t="inlineStr">
        <is>
          <t>KITCHEN — Upper Cabinets</t>
        </is>
      </c>
      <c r="H4" s="8" t="inlineStr">
        <is>
          <t>KITCHEN — Lower / Base Cabinets</t>
        </is>
      </c>
      <c r="L4" s="8" t="inlineStr">
        <is>
          <t>Kitchen Totals</t>
        </is>
      </c>
      <c r="N4" s="8" t="inlineStr">
        <is>
          <t>BATH — Vanities</t>
        </is>
      </c>
      <c r="Q4" s="8" t="inlineStr">
        <is>
          <t>Bath Total</t>
        </is>
      </c>
      <c r="R4" s="8" t="inlineStr">
        <is>
          <t>Unit Grand Total</t>
        </is>
      </c>
    </row>
    <row r="5">
      <c r="D5" s="8" t="inlineStr">
        <is>
          <t>Wall Cab</t>
        </is>
      </c>
      <c r="E5" s="8" t="inlineStr">
        <is>
          <t>Wall Cab</t>
        </is>
      </c>
      <c r="F5" s="8" t="inlineStr">
        <is>
          <t>Corner Wall</t>
        </is>
      </c>
      <c r="G5" s="8" t="inlineStr">
        <is>
          <t>Specialty</t>
        </is>
      </c>
      <c r="H5" s="8" t="inlineStr">
        <is>
          <t>Base Cab</t>
        </is>
      </c>
      <c r="I5" s="8" t="inlineStr">
        <is>
          <t>Base Cab</t>
        </is>
      </c>
      <c r="J5" s="8" t="inlineStr">
        <is>
          <t>Corner Base</t>
        </is>
      </c>
      <c r="K5" s="8" t="inlineStr">
        <is>
          <t>Specialty</t>
        </is>
      </c>
      <c r="L5" s="8" t="inlineStr">
        <is>
          <t>Kitchen Sub</t>
        </is>
      </c>
      <c r="M5" s="8" t="inlineStr">
        <is>
          <t>Kitchen Total</t>
        </is>
      </c>
      <c r="N5" s="8" t="inlineStr">
        <is>
          <t>Single Van</t>
        </is>
      </c>
      <c r="O5" s="8" t="inlineStr">
        <is>
          <t>Double Van</t>
        </is>
      </c>
      <c r="P5" s="8" t="inlineStr">
        <is>
          <t>Linen/Med</t>
        </is>
      </c>
    </row>
    <row r="6">
      <c r="A6" s="9" t="inlineStr">
        <is>
          <t>A1</t>
        </is>
      </c>
      <c r="B6" s="10" t="n">
        <v>14</v>
      </c>
      <c r="C6" s="11" t="inlineStr">
        <is>
          <t>Ground/2nd/3rd</t>
        </is>
      </c>
      <c r="D6" s="10" t="n">
        <v>3</v>
      </c>
      <c r="E6" s="10" t="n">
        <v>0</v>
      </c>
      <c r="F6" s="10" t="n">
        <v>1</v>
      </c>
      <c r="G6" s="10" t="n">
        <v>0</v>
      </c>
      <c r="H6" s="10" t="n">
        <v>5</v>
      </c>
      <c r="I6" s="10" t="n">
        <v>0</v>
      </c>
      <c r="J6" s="10" t="n">
        <v>1</v>
      </c>
      <c r="K6" s="10" t="n">
        <v>0</v>
      </c>
      <c r="L6" s="12">
        <f>SUM(D6:K6)</f>
        <v/>
      </c>
      <c r="M6" s="12">
        <f>L6</f>
        <v/>
      </c>
      <c r="N6" s="10" t="n">
        <v>1</v>
      </c>
      <c r="O6" s="10" t="n">
        <v>0</v>
      </c>
      <c r="P6" s="10" t="n">
        <v>1</v>
      </c>
      <c r="Q6" s="12">
        <f>SUM(N6:P6)</f>
        <v/>
      </c>
      <c r="R6" s="12">
        <f>M6+Q6</f>
        <v/>
      </c>
    </row>
    <row r="7">
      <c r="A7" s="9" t="inlineStr">
        <is>
          <t>A2-FA</t>
        </is>
      </c>
      <c r="B7" s="10" t="n">
        <v>6</v>
      </c>
      <c r="C7" s="11" t="inlineStr">
        <is>
          <t>Ground/2nd/3rd</t>
        </is>
      </c>
      <c r="D7" s="10" t="n">
        <v>3</v>
      </c>
      <c r="E7" s="10" t="n">
        <v>0</v>
      </c>
      <c r="F7" s="10" t="n">
        <v>1</v>
      </c>
      <c r="G7" s="10" t="n">
        <v>0</v>
      </c>
      <c r="H7" s="10" t="n">
        <v>4</v>
      </c>
      <c r="I7" s="10" t="n">
        <v>0</v>
      </c>
      <c r="J7" s="10" t="n">
        <v>1</v>
      </c>
      <c r="K7" s="10" t="n">
        <v>0</v>
      </c>
      <c r="L7" s="12">
        <f>SUM(D7:K7)</f>
        <v/>
      </c>
      <c r="M7" s="12">
        <f>L7</f>
        <v/>
      </c>
      <c r="N7" s="10" t="n">
        <v>1</v>
      </c>
      <c r="O7" s="10" t="n">
        <v>0</v>
      </c>
      <c r="P7" s="10" t="n">
        <v>1</v>
      </c>
      <c r="Q7" s="12">
        <f>SUM(N7:P7)</f>
        <v/>
      </c>
      <c r="R7" s="12">
        <f>M7+Q7</f>
        <v/>
      </c>
    </row>
    <row r="8">
      <c r="A8" s="9" t="inlineStr">
        <is>
          <t>A3</t>
        </is>
      </c>
      <c r="B8" s="10" t="n">
        <v>6</v>
      </c>
      <c r="C8" s="11" t="inlineStr">
        <is>
          <t>Ground/2nd/3rd</t>
        </is>
      </c>
      <c r="D8" s="10" t="n">
        <v>3</v>
      </c>
      <c r="E8" s="10" t="n">
        <v>0</v>
      </c>
      <c r="F8" s="10" t="n">
        <v>0</v>
      </c>
      <c r="G8" s="10" t="n">
        <v>0</v>
      </c>
      <c r="H8" s="10" t="n">
        <v>5</v>
      </c>
      <c r="I8" s="10" t="n">
        <v>0</v>
      </c>
      <c r="J8" s="10" t="n">
        <v>0</v>
      </c>
      <c r="K8" s="10" t="n">
        <v>0</v>
      </c>
      <c r="L8" s="12">
        <f>SUM(D8:K8)</f>
        <v/>
      </c>
      <c r="M8" s="12">
        <f>L8</f>
        <v/>
      </c>
      <c r="N8" s="10" t="n">
        <v>1</v>
      </c>
      <c r="O8" s="10" t="n">
        <v>0</v>
      </c>
      <c r="P8" s="10" t="n">
        <v>0</v>
      </c>
      <c r="Q8" s="12">
        <f>SUM(N8:P8)</f>
        <v/>
      </c>
      <c r="R8" s="12">
        <f>M8+Q8</f>
        <v/>
      </c>
    </row>
    <row r="9">
      <c r="A9" s="9" t="inlineStr">
        <is>
          <t>B1</t>
        </is>
      </c>
      <c r="B9" s="10" t="n">
        <v>12</v>
      </c>
      <c r="C9" s="11" t="inlineStr">
        <is>
          <t>Ground/2nd/3rd</t>
        </is>
      </c>
      <c r="D9" s="10" t="n">
        <v>4</v>
      </c>
      <c r="E9" s="10" t="n">
        <v>0</v>
      </c>
      <c r="F9" s="10" t="n">
        <v>1</v>
      </c>
      <c r="G9" s="10" t="n">
        <v>0</v>
      </c>
      <c r="H9" s="10" t="n">
        <v>6</v>
      </c>
      <c r="I9" s="10" t="n">
        <v>0</v>
      </c>
      <c r="J9" s="10" t="n">
        <v>1</v>
      </c>
      <c r="K9" s="10" t="n">
        <v>0</v>
      </c>
      <c r="L9" s="12">
        <f>SUM(D9:K9)</f>
        <v/>
      </c>
      <c r="M9" s="12">
        <f>L9</f>
        <v/>
      </c>
      <c r="N9" s="10" t="n">
        <v>2</v>
      </c>
      <c r="O9" s="10" t="n">
        <v>0</v>
      </c>
      <c r="P9" s="10" t="n">
        <v>1</v>
      </c>
      <c r="Q9" s="12">
        <f>SUM(N9:P9)</f>
        <v/>
      </c>
      <c r="R9" s="12">
        <f>M9+Q9</f>
        <v/>
      </c>
    </row>
    <row r="10">
      <c r="A10" s="9" t="inlineStr">
        <is>
          <t>B2-FA</t>
        </is>
      </c>
      <c r="B10" s="10" t="n">
        <v>6</v>
      </c>
      <c r="C10" s="11" t="inlineStr">
        <is>
          <t>Ground/2nd/3rd</t>
        </is>
      </c>
      <c r="D10" s="10" t="n">
        <v>4</v>
      </c>
      <c r="E10" s="10" t="n">
        <v>0</v>
      </c>
      <c r="F10" s="10" t="n">
        <v>1</v>
      </c>
      <c r="G10" s="10" t="n">
        <v>0</v>
      </c>
      <c r="H10" s="10" t="n">
        <v>5</v>
      </c>
      <c r="I10" s="10" t="n">
        <v>0</v>
      </c>
      <c r="J10" s="10" t="n">
        <v>1</v>
      </c>
      <c r="K10" s="10" t="n">
        <v>0</v>
      </c>
      <c r="L10" s="12">
        <f>SUM(D10:K10)</f>
        <v/>
      </c>
      <c r="M10" s="12">
        <f>L10</f>
        <v/>
      </c>
      <c r="N10" s="10" t="n">
        <v>2</v>
      </c>
      <c r="O10" s="10" t="n">
        <v>0</v>
      </c>
      <c r="P10" s="10" t="n">
        <v>1</v>
      </c>
      <c r="Q10" s="12">
        <f>SUM(N10:P10)</f>
        <v/>
      </c>
      <c r="R10" s="12">
        <f>M10+Q10</f>
        <v/>
      </c>
    </row>
    <row r="11">
      <c r="A11" s="9" t="inlineStr">
        <is>
          <t>B3</t>
        </is>
      </c>
      <c r="B11" s="10" t="n">
        <v>6</v>
      </c>
      <c r="C11" s="11" t="inlineStr">
        <is>
          <t>Ground/2nd/3rd</t>
        </is>
      </c>
      <c r="D11" s="10" t="n">
        <v>4</v>
      </c>
      <c r="E11" s="10" t="n">
        <v>0</v>
      </c>
      <c r="F11" s="10" t="n">
        <v>0</v>
      </c>
      <c r="G11" s="10" t="n">
        <v>0</v>
      </c>
      <c r="H11" s="10" t="n">
        <v>6</v>
      </c>
      <c r="I11" s="10" t="n">
        <v>0</v>
      </c>
      <c r="J11" s="10" t="n">
        <v>0</v>
      </c>
      <c r="K11" s="10" t="n">
        <v>0</v>
      </c>
      <c r="L11" s="12">
        <f>SUM(D11:K11)</f>
        <v/>
      </c>
      <c r="M11" s="12">
        <f>L11</f>
        <v/>
      </c>
      <c r="N11" s="10" t="n">
        <v>2</v>
      </c>
      <c r="O11" s="10" t="n">
        <v>0</v>
      </c>
      <c r="P11" s="10" t="n">
        <v>1</v>
      </c>
      <c r="Q11" s="12">
        <f>SUM(N11:P11)</f>
        <v/>
      </c>
      <c r="R11" s="12">
        <f>M11+Q11</f>
        <v/>
      </c>
    </row>
    <row r="12">
      <c r="A12" s="13" t="inlineStr">
        <is>
          <t>PROJECT TOTALS</t>
        </is>
      </c>
      <c r="B12" s="14">
        <f>SUM(B6:B11)</f>
        <v/>
      </c>
      <c r="C12" s="15" t="inlineStr"/>
      <c r="D12" s="14">
        <f>SUM(D6:D11)</f>
        <v/>
      </c>
      <c r="E12" s="14">
        <f>SUM(E6:E11)</f>
        <v/>
      </c>
      <c r="F12" s="14">
        <f>SUM(F6:F11)</f>
        <v/>
      </c>
      <c r="G12" s="14">
        <f>SUM(G6:G11)</f>
        <v/>
      </c>
      <c r="H12" s="14">
        <f>SUM(H6:H11)</f>
        <v/>
      </c>
      <c r="I12" s="14">
        <f>SUM(I6:I11)</f>
        <v/>
      </c>
      <c r="J12" s="14">
        <f>SUM(J6:J11)</f>
        <v/>
      </c>
      <c r="K12" s="14">
        <f>SUM(K6:K11)</f>
        <v/>
      </c>
      <c r="L12" s="14">
        <f>SUM(L6:L11)</f>
        <v/>
      </c>
      <c r="M12" s="14">
        <f>SUM(M6:M11)</f>
        <v/>
      </c>
      <c r="N12" s="14">
        <f>SUM(N6:N11)</f>
        <v/>
      </c>
      <c r="O12" s="14">
        <f>SUM(O6:O11)</f>
        <v/>
      </c>
      <c r="P12" s="14">
        <f>SUM(P6:P11)</f>
        <v/>
      </c>
      <c r="Q12" s="14">
        <f>SUM(Q6:Q11)</f>
        <v/>
      </c>
      <c r="R12" s="14">
        <f>SUM(R6:R11)</f>
        <v/>
      </c>
    </row>
  </sheetData>
  <mergeCells count="9">
    <mergeCell ref="H4:K4"/>
    <mergeCell ref="B4:B5"/>
    <mergeCell ref="L4:M4"/>
    <mergeCell ref="Q4:Q5"/>
    <mergeCell ref="C4:C5"/>
    <mergeCell ref="A4:A5"/>
    <mergeCell ref="R4:R5"/>
    <mergeCell ref="N4:P4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CABINET LIBRARY — STANDARD SPECIFICATIONS</t>
        </is>
      </c>
    </row>
    <row r="3">
      <c r="A3" s="8" t="inlineStr">
        <is>
          <t>Cabinet Code</t>
        </is>
      </c>
      <c r="B3" s="8" t="inlineStr">
        <is>
          <t>Description</t>
        </is>
      </c>
      <c r="C3" s="8" t="inlineStr">
        <is>
          <t>Type</t>
        </is>
      </c>
      <c r="D3" s="8" t="inlineStr">
        <is>
          <t>Width (in)</t>
        </is>
      </c>
      <c r="E3" s="8" t="inlineStr">
        <is>
          <t>Height (in)</t>
        </is>
      </c>
      <c r="F3" s="8" t="inlineStr">
        <is>
          <t>Depth (in)</t>
        </is>
      </c>
      <c r="G3" s="8" t="inlineStr">
        <is>
          <t>Finish Tier</t>
        </is>
      </c>
      <c r="H3" s="8" t="inlineStr">
        <is>
          <t>Door Style</t>
        </is>
      </c>
      <c r="I3" s="8" t="inlineStr">
        <is>
          <t>Notes</t>
        </is>
      </c>
    </row>
    <row r="4">
      <c r="A4" s="11" t="inlineStr">
        <is>
          <t>W3012</t>
        </is>
      </c>
      <c r="B4" s="11" t="inlineStr">
        <is>
          <t>Wall Cabinet 30W x 12H</t>
        </is>
      </c>
      <c r="C4" s="11" t="inlineStr">
        <is>
          <t>Upper</t>
        </is>
      </c>
      <c r="D4" s="10" t="n">
        <v>30</v>
      </c>
      <c r="E4" s="10" t="n">
        <v>12</v>
      </c>
      <c r="F4" s="10" t="n">
        <v>12</v>
      </c>
      <c r="G4" s="11" t="inlineStr">
        <is>
          <t>Standard 1</t>
        </is>
      </c>
      <c r="H4" s="11" t="inlineStr">
        <is>
          <t>Shaker</t>
        </is>
      </c>
      <c r="I4" s="11" t="inlineStr">
        <is>
          <t>Over fridge</t>
        </is>
      </c>
    </row>
    <row r="5">
      <c r="A5" s="11" t="inlineStr">
        <is>
          <t>W3618</t>
        </is>
      </c>
      <c r="B5" s="11" t="inlineStr">
        <is>
          <t>Wall Cabinet 36W x 18H</t>
        </is>
      </c>
      <c r="C5" s="11" t="inlineStr">
        <is>
          <t>Upper</t>
        </is>
      </c>
      <c r="D5" s="10" t="n">
        <v>36</v>
      </c>
      <c r="E5" s="10" t="n">
        <v>18</v>
      </c>
      <c r="F5" s="10" t="n">
        <v>12</v>
      </c>
      <c r="G5" s="11" t="inlineStr">
        <is>
          <t>Standard 1</t>
        </is>
      </c>
      <c r="H5" s="11" t="inlineStr">
        <is>
          <t>Shaker</t>
        </is>
      </c>
      <c r="I5" s="11" t="inlineStr">
        <is>
          <t>Over microwave</t>
        </is>
      </c>
    </row>
    <row r="6">
      <c r="A6" s="11" t="inlineStr">
        <is>
          <t>W3630</t>
        </is>
      </c>
      <c r="B6" s="11" t="inlineStr">
        <is>
          <t>Wall Cabinet 36W x 30H</t>
        </is>
      </c>
      <c r="C6" s="11" t="inlineStr">
        <is>
          <t>Upper</t>
        </is>
      </c>
      <c r="D6" s="10" t="n">
        <v>36</v>
      </c>
      <c r="E6" s="10" t="n">
        <v>30</v>
      </c>
      <c r="F6" s="10" t="n">
        <v>12</v>
      </c>
      <c r="G6" s="11" t="inlineStr">
        <is>
          <t>Standard 1</t>
        </is>
      </c>
      <c r="H6" s="11" t="inlineStr">
        <is>
          <t>Shaker</t>
        </is>
      </c>
      <c r="I6" s="11" t="inlineStr">
        <is>
          <t>Standard upper</t>
        </is>
      </c>
    </row>
    <row r="7">
      <c r="A7" s="11" t="inlineStr">
        <is>
          <t>W3030</t>
        </is>
      </c>
      <c r="B7" s="11" t="inlineStr">
        <is>
          <t>Wall Cabinet 30W x 30H</t>
        </is>
      </c>
      <c r="C7" s="11" t="inlineStr">
        <is>
          <t>Upper</t>
        </is>
      </c>
      <c r="D7" s="10" t="n">
        <v>30</v>
      </c>
      <c r="E7" s="10" t="n">
        <v>30</v>
      </c>
      <c r="F7" s="10" t="n">
        <v>12</v>
      </c>
      <c r="G7" s="11" t="inlineStr">
        <is>
          <t>Standard 1</t>
        </is>
      </c>
      <c r="H7" s="11" t="inlineStr">
        <is>
          <t>Shaker</t>
        </is>
      </c>
      <c r="I7" s="11" t="inlineStr">
        <is>
          <t>Standard upper</t>
        </is>
      </c>
    </row>
    <row r="8">
      <c r="A8" s="11" t="inlineStr">
        <is>
          <t>WC2430</t>
        </is>
      </c>
      <c r="B8" s="11" t="inlineStr">
        <is>
          <t>Corner Wall Cabinet 24W</t>
        </is>
      </c>
      <c r="C8" s="11" t="inlineStr">
        <is>
          <t>Upper</t>
        </is>
      </c>
      <c r="D8" s="10" t="n">
        <v>24</v>
      </c>
      <c r="E8" s="10" t="n">
        <v>30</v>
      </c>
      <c r="F8" s="10" t="n">
        <v>12</v>
      </c>
      <c r="G8" s="11" t="inlineStr">
        <is>
          <t>Standard 1</t>
        </is>
      </c>
      <c r="H8" s="11" t="inlineStr">
        <is>
          <t>Shaker</t>
        </is>
      </c>
      <c r="I8" s="11" t="inlineStr">
        <is>
          <t>Blind corner</t>
        </is>
      </c>
    </row>
    <row r="9">
      <c r="A9" s="11" t="inlineStr">
        <is>
          <t>B36</t>
        </is>
      </c>
      <c r="B9" s="11" t="inlineStr">
        <is>
          <t>Base Cabinet 36W</t>
        </is>
      </c>
      <c r="C9" s="11" t="inlineStr">
        <is>
          <t>Lower</t>
        </is>
      </c>
      <c r="D9" s="10" t="n">
        <v>36</v>
      </c>
      <c r="E9" s="10" t="n">
        <v>34.5</v>
      </c>
      <c r="F9" s="10" t="n">
        <v>24</v>
      </c>
      <c r="G9" s="11" t="inlineStr">
        <is>
          <t>Standard 1</t>
        </is>
      </c>
      <c r="H9" s="11" t="inlineStr">
        <is>
          <t>Shaker</t>
        </is>
      </c>
      <c r="I9" s="11" t="inlineStr">
        <is>
          <t>Standard base</t>
        </is>
      </c>
    </row>
    <row r="10">
      <c r="A10" s="11" t="inlineStr">
        <is>
          <t>B30</t>
        </is>
      </c>
      <c r="B10" s="11" t="inlineStr">
        <is>
          <t>Base Cabinet 30W</t>
        </is>
      </c>
      <c r="C10" s="11" t="inlineStr">
        <is>
          <t>Lower</t>
        </is>
      </c>
      <c r="D10" s="10" t="n">
        <v>30</v>
      </c>
      <c r="E10" s="10" t="n">
        <v>34.5</v>
      </c>
      <c r="F10" s="10" t="n">
        <v>24</v>
      </c>
      <c r="G10" s="11" t="inlineStr">
        <is>
          <t>Standard 1</t>
        </is>
      </c>
      <c r="H10" s="11" t="inlineStr">
        <is>
          <t>Shaker</t>
        </is>
      </c>
      <c r="I10" s="11" t="inlineStr">
        <is>
          <t>Standard base</t>
        </is>
      </c>
    </row>
    <row r="11">
      <c r="A11" s="11" t="inlineStr">
        <is>
          <t>B24</t>
        </is>
      </c>
      <c r="B11" s="11" t="inlineStr">
        <is>
          <t>Base Cabinet 24W</t>
        </is>
      </c>
      <c r="C11" s="11" t="inlineStr">
        <is>
          <t>Lower</t>
        </is>
      </c>
      <c r="D11" s="10" t="n">
        <v>24</v>
      </c>
      <c r="E11" s="10" t="n">
        <v>34.5</v>
      </c>
      <c r="F11" s="10" t="n">
        <v>24</v>
      </c>
      <c r="G11" s="11" t="inlineStr">
        <is>
          <t>Standard 1</t>
        </is>
      </c>
      <c r="H11" s="11" t="inlineStr">
        <is>
          <t>Shaker</t>
        </is>
      </c>
      <c r="I11" s="11" t="inlineStr">
        <is>
          <t>Standard base</t>
        </is>
      </c>
    </row>
    <row r="12">
      <c r="A12" s="11" t="inlineStr">
        <is>
          <t>B18</t>
        </is>
      </c>
      <c r="B12" s="11" t="inlineStr">
        <is>
          <t>Base Cabinet 18W</t>
        </is>
      </c>
      <c r="C12" s="11" t="inlineStr">
        <is>
          <t>Lower</t>
        </is>
      </c>
      <c r="D12" s="10" t="n">
        <v>18</v>
      </c>
      <c r="E12" s="10" t="n">
        <v>34.5</v>
      </c>
      <c r="F12" s="10" t="n">
        <v>24</v>
      </c>
      <c r="G12" s="11" t="inlineStr">
        <is>
          <t>Standard 1</t>
        </is>
      </c>
      <c r="H12" s="11" t="inlineStr">
        <is>
          <t>Shaker</t>
        </is>
      </c>
      <c r="I12" s="11" t="inlineStr">
        <is>
          <t>Standard base</t>
        </is>
      </c>
    </row>
    <row r="13">
      <c r="A13" s="11" t="inlineStr">
        <is>
          <t>BC36</t>
        </is>
      </c>
      <c r="B13" s="11" t="inlineStr">
        <is>
          <t>Corner Base Cabinet</t>
        </is>
      </c>
      <c r="C13" s="11" t="inlineStr">
        <is>
          <t>Lower</t>
        </is>
      </c>
      <c r="D13" s="10" t="n">
        <v>36</v>
      </c>
      <c r="E13" s="10" t="n">
        <v>34.5</v>
      </c>
      <c r="F13" s="10" t="n">
        <v>24</v>
      </c>
      <c r="G13" s="11" t="inlineStr">
        <is>
          <t>Standard 1</t>
        </is>
      </c>
      <c r="H13" s="11" t="inlineStr">
        <is>
          <t>Shaker</t>
        </is>
      </c>
      <c r="I13" s="11" t="inlineStr">
        <is>
          <t>Lazy susan option</t>
        </is>
      </c>
    </row>
    <row r="14">
      <c r="A14" s="11" t="inlineStr">
        <is>
          <t>T1884</t>
        </is>
      </c>
      <c r="B14" s="11" t="inlineStr">
        <is>
          <t>Tall Pantry 18W x 84H</t>
        </is>
      </c>
      <c r="C14" s="11" t="inlineStr">
        <is>
          <t>Tall</t>
        </is>
      </c>
      <c r="D14" s="10" t="n">
        <v>18</v>
      </c>
      <c r="E14" s="10" t="n">
        <v>84</v>
      </c>
      <c r="F14" s="10" t="n">
        <v>24</v>
      </c>
      <c r="G14" s="11" t="inlineStr">
        <is>
          <t>Standard 1</t>
        </is>
      </c>
      <c r="H14" s="11" t="inlineStr">
        <is>
          <t>Shaker</t>
        </is>
      </c>
      <c r="I14" s="11" t="inlineStr">
        <is>
          <t>Pantry</t>
        </is>
      </c>
    </row>
    <row r="15">
      <c r="A15" s="11" t="inlineStr">
        <is>
          <t>T2484</t>
        </is>
      </c>
      <c r="B15" s="11" t="inlineStr">
        <is>
          <t>Tall Pantry 24W x 84H</t>
        </is>
      </c>
      <c r="C15" s="11" t="inlineStr">
        <is>
          <t>Tall</t>
        </is>
      </c>
      <c r="D15" s="10" t="n">
        <v>24</v>
      </c>
      <c r="E15" s="10" t="n">
        <v>84</v>
      </c>
      <c r="F15" s="10" t="n">
        <v>24</v>
      </c>
      <c r="G15" s="11" t="inlineStr">
        <is>
          <t>Standard 1</t>
        </is>
      </c>
      <c r="H15" s="11" t="inlineStr">
        <is>
          <t>Shaker</t>
        </is>
      </c>
      <c r="I15" s="11" t="inlineStr">
        <is>
          <t>Pantry</t>
        </is>
      </c>
    </row>
    <row r="16">
      <c r="A16" s="11" t="inlineStr">
        <is>
          <t>VAN24</t>
        </is>
      </c>
      <c r="B16" s="11" t="inlineStr">
        <is>
          <t>Bath Vanity 24W</t>
        </is>
      </c>
      <c r="C16" s="11" t="inlineStr">
        <is>
          <t>Vanity</t>
        </is>
      </c>
      <c r="D16" s="10" t="n">
        <v>24</v>
      </c>
      <c r="E16" s="10" t="n">
        <v>34.5</v>
      </c>
      <c r="F16" s="10" t="n">
        <v>21</v>
      </c>
      <c r="G16" s="11" t="inlineStr">
        <is>
          <t>Standard 1</t>
        </is>
      </c>
      <c r="H16" s="11" t="inlineStr">
        <is>
          <t>Shaker</t>
        </is>
      </c>
      <c r="I16" s="11" t="inlineStr">
        <is>
          <t>Single sink</t>
        </is>
      </c>
    </row>
    <row r="17">
      <c r="A17" s="11" t="inlineStr">
        <is>
          <t>VAN30</t>
        </is>
      </c>
      <c r="B17" s="11" t="inlineStr">
        <is>
          <t>Bath Vanity 30W</t>
        </is>
      </c>
      <c r="C17" s="11" t="inlineStr">
        <is>
          <t>Vanity</t>
        </is>
      </c>
      <c r="D17" s="10" t="n">
        <v>30</v>
      </c>
      <c r="E17" s="10" t="n">
        <v>34.5</v>
      </c>
      <c r="F17" s="10" t="n">
        <v>21</v>
      </c>
      <c r="G17" s="11" t="inlineStr">
        <is>
          <t>Standard 1</t>
        </is>
      </c>
      <c r="H17" s="11" t="inlineStr">
        <is>
          <t>Shaker</t>
        </is>
      </c>
      <c r="I17" s="11" t="inlineStr">
        <is>
          <t>Single sink</t>
        </is>
      </c>
    </row>
    <row r="18">
      <c r="A18" s="11" t="inlineStr">
        <is>
          <t>VAN36</t>
        </is>
      </c>
      <c r="B18" s="11" t="inlineStr">
        <is>
          <t>Bath Vanity 36W</t>
        </is>
      </c>
      <c r="C18" s="11" t="inlineStr">
        <is>
          <t>Vanity</t>
        </is>
      </c>
      <c r="D18" s="10" t="n">
        <v>36</v>
      </c>
      <c r="E18" s="10" t="n">
        <v>34.5</v>
      </c>
      <c r="F18" s="10" t="n">
        <v>21</v>
      </c>
      <c r="G18" s="11" t="inlineStr">
        <is>
          <t>Standard 1</t>
        </is>
      </c>
      <c r="H18" s="11" t="inlineStr">
        <is>
          <t>Shaker</t>
        </is>
      </c>
      <c r="I18" s="11" t="inlineStr">
        <is>
          <t>Single sink</t>
        </is>
      </c>
    </row>
    <row r="19">
      <c r="A19" s="11" t="inlineStr">
        <is>
          <t>VAN48</t>
        </is>
      </c>
      <c r="B19" s="11" t="inlineStr">
        <is>
          <t>Bath Vanity 48W</t>
        </is>
      </c>
      <c r="C19" s="11" t="inlineStr">
        <is>
          <t>Vanity</t>
        </is>
      </c>
      <c r="D19" s="10" t="n">
        <v>48</v>
      </c>
      <c r="E19" s="10" t="n">
        <v>34.5</v>
      </c>
      <c r="F19" s="10" t="n">
        <v>21</v>
      </c>
      <c r="G19" s="11" t="inlineStr">
        <is>
          <t>Standard 1</t>
        </is>
      </c>
      <c r="H19" s="11" t="inlineStr">
        <is>
          <t>Shaker</t>
        </is>
      </c>
      <c r="I19" s="11" t="inlineStr">
        <is>
          <t>Double sink</t>
        </is>
      </c>
    </row>
    <row r="20">
      <c r="A20" s="11" t="inlineStr">
        <is>
          <t>VAN60</t>
        </is>
      </c>
      <c r="B20" s="11" t="inlineStr">
        <is>
          <t>Bath Vanity 60W</t>
        </is>
      </c>
      <c r="C20" s="11" t="inlineStr">
        <is>
          <t>Vanity</t>
        </is>
      </c>
      <c r="D20" s="10" t="n">
        <v>60</v>
      </c>
      <c r="E20" s="10" t="n">
        <v>34.5</v>
      </c>
      <c r="F20" s="10" t="n">
        <v>21</v>
      </c>
      <c r="G20" s="11" t="inlineStr">
        <is>
          <t>Standard 1</t>
        </is>
      </c>
      <c r="H20" s="11" t="inlineStr">
        <is>
          <t>Shaker</t>
        </is>
      </c>
      <c r="I20" s="11" t="inlineStr">
        <is>
          <t>Double sink</t>
        </is>
      </c>
    </row>
    <row r="21">
      <c r="A21" s="11" t="inlineStr">
        <is>
          <t>MED24</t>
        </is>
      </c>
      <c r="B21" s="11" t="inlineStr">
        <is>
          <t>Medicine Cabinet 24W</t>
        </is>
      </c>
      <c r="C21" s="11" t="inlineStr">
        <is>
          <t>Bath</t>
        </is>
      </c>
      <c r="D21" s="10" t="n">
        <v>24</v>
      </c>
      <c r="E21" s="10" t="n">
        <v>30</v>
      </c>
      <c r="F21" s="10" t="n">
        <v>4</v>
      </c>
      <c r="G21" s="11" t="inlineStr">
        <is>
          <t>Standard 1</t>
        </is>
      </c>
      <c r="H21" s="11" t="inlineStr">
        <is>
          <t>Mirror</t>
        </is>
      </c>
      <c r="I21" s="11" t="inlineStr">
        <is>
          <t>Surface mount</t>
        </is>
      </c>
    </row>
    <row r="22">
      <c r="A22" s="11" t="inlineStr">
        <is>
          <t>MED36</t>
        </is>
      </c>
      <c r="B22" s="11" t="inlineStr">
        <is>
          <t>Medicine Cabinet 36W</t>
        </is>
      </c>
      <c r="C22" s="11" t="inlineStr">
        <is>
          <t>Bath</t>
        </is>
      </c>
      <c r="D22" s="10" t="n">
        <v>36</v>
      </c>
      <c r="E22" s="10" t="n">
        <v>30</v>
      </c>
      <c r="F22" s="10" t="n">
        <v>4</v>
      </c>
      <c r="G22" s="11" t="inlineStr">
        <is>
          <t>Standard 1</t>
        </is>
      </c>
      <c r="H22" s="11" t="inlineStr">
        <is>
          <t>Mirror</t>
        </is>
      </c>
      <c r="I22" s="11" t="inlineStr">
        <is>
          <t>Surface mount</t>
        </is>
      </c>
    </row>
    <row r="23">
      <c r="A23" s="11" t="inlineStr">
        <is>
          <t>LIN18</t>
        </is>
      </c>
      <c r="B23" s="11" t="inlineStr">
        <is>
          <t>Linen Cabinet 18W x 84H</t>
        </is>
      </c>
      <c r="C23" s="11" t="inlineStr">
        <is>
          <t>Bath</t>
        </is>
      </c>
      <c r="D23" s="10" t="n">
        <v>18</v>
      </c>
      <c r="E23" s="10" t="n">
        <v>84</v>
      </c>
      <c r="F23" s="10" t="n">
        <v>18</v>
      </c>
      <c r="G23" s="11" t="inlineStr">
        <is>
          <t>Standard 1</t>
        </is>
      </c>
      <c r="H23" s="11" t="inlineStr">
        <is>
          <t>Shaker</t>
        </is>
      </c>
      <c r="I23" s="11" t="inlineStr">
        <is>
          <t>Linen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4" customWidth="1" min="3" max="3"/>
    <col width="15" customWidth="1" min="4" max="4"/>
    <col width="17" customWidth="1" min="5" max="5"/>
    <col width="15" customWidth="1" min="6" max="6"/>
  </cols>
  <sheetData>
    <row r="1">
      <c r="A1" s="1" t="inlineStr">
        <is>
          <t>JOB COSTING — CASA FAMILIA TOTAL ESTIMATE</t>
        </is>
      </c>
    </row>
    <row r="2">
      <c r="A2" s="2" t="inlineStr">
        <is>
          <t>Atlantic Pacific Communities  |  GP Target: 35%</t>
        </is>
      </c>
    </row>
    <row r="3"/>
    <row r="4">
      <c r="A4" s="3" t="inlineStr">
        <is>
          <t>A. QUANTITIES</t>
        </is>
      </c>
    </row>
    <row r="5">
      <c r="B5" s="5" t="inlineStr">
        <is>
          <t>Kitchen Cabinets</t>
        </is>
      </c>
      <c r="E5" s="3" t="n">
        <v>512</v>
      </c>
      <c r="F5" s="5" t="inlineStr">
        <is>
          <t>units</t>
        </is>
      </c>
    </row>
    <row r="6">
      <c r="B6" s="5" t="inlineStr">
        <is>
          <t>Bath Cabinets</t>
        </is>
      </c>
      <c r="E6" s="3" t="n">
        <v>118</v>
      </c>
      <c r="F6" s="5" t="inlineStr">
        <is>
          <t>units</t>
        </is>
      </c>
    </row>
    <row r="7">
      <c r="B7" s="3" t="inlineStr">
        <is>
          <t>TOTAL CABINETS</t>
        </is>
      </c>
      <c r="E7" s="3">
        <f>E5+E6</f>
        <v/>
      </c>
      <c r="F7" s="5" t="inlineStr">
        <is>
          <t>units</t>
        </is>
      </c>
    </row>
    <row r="8">
      <c r="B8" s="5" t="inlineStr">
        <is>
          <t>Estimated Containers</t>
        </is>
      </c>
      <c r="E8" s="3">
        <f>ROUNDUP(E7/220,0)</f>
        <v/>
      </c>
      <c r="F8" s="5" t="inlineStr">
        <is>
          <t>containers</t>
        </is>
      </c>
    </row>
    <row r="9"/>
    <row r="10">
      <c r="A10" s="3" t="inlineStr">
        <is>
          <t>B. MATERIAL COST</t>
        </is>
      </c>
    </row>
    <row r="11">
      <c r="B11" s="5" t="inlineStr">
        <is>
          <t>Kitchen Cabinets Cost</t>
        </is>
      </c>
      <c r="E11" s="16" t="n">
        <v>64768</v>
      </c>
    </row>
    <row r="12">
      <c r="B12" s="5" t="inlineStr">
        <is>
          <t>Bath Cabinets Cost</t>
        </is>
      </c>
      <c r="E12" s="16" t="n">
        <v>23962</v>
      </c>
    </row>
    <row r="13">
      <c r="B13" s="3" t="inlineStr">
        <is>
          <t>MATERIAL SUBTOTAL</t>
        </is>
      </c>
      <c r="E13" s="17">
        <f>E11+E12</f>
        <v/>
      </c>
    </row>
    <row r="14"/>
    <row r="15">
      <c r="A15" s="3" t="inlineStr">
        <is>
          <t>C. PROJECT COSTS</t>
        </is>
      </c>
    </row>
    <row r="16"/>
    <row r="17"/>
    <row r="18"/>
    <row r="19">
      <c r="A19" s="18" t="inlineStr">
        <is>
          <t>#</t>
        </is>
      </c>
      <c r="B19" s="18" t="inlineStr">
        <is>
          <t>Cost Item</t>
        </is>
      </c>
      <c r="C19" s="18" t="inlineStr">
        <is>
          <t>Basis / Driver</t>
        </is>
      </c>
      <c r="D19" s="18" t="inlineStr">
        <is>
          <t>Rate</t>
        </is>
      </c>
      <c r="E19" s="18" t="inlineStr">
        <is>
          <t>Calculated ($)</t>
        </is>
      </c>
      <c r="F19" s="18" t="inlineStr">
        <is>
          <t>Notes</t>
        </is>
      </c>
    </row>
    <row r="20"/>
    <row r="21">
      <c r="A21" s="19" t="inlineStr">
        <is>
          <t>1</t>
        </is>
      </c>
      <c r="B21" s="19" t="inlineStr">
        <is>
          <t>Material Cost (cabinets)</t>
        </is>
      </c>
      <c r="C21" s="19" t="inlineStr">
        <is>
          <t>Invoice / Price List</t>
        </is>
      </c>
      <c r="D21" s="19" t="inlineStr"/>
      <c r="E21" s="20">
        <f>E13</f>
        <v/>
      </c>
      <c r="F21" s="21" t="n"/>
    </row>
    <row r="22">
      <c r="A22" s="19" t="inlineStr">
        <is>
          <t>2</t>
        </is>
      </c>
      <c r="B22" s="19" t="inlineStr">
        <is>
          <t>Local Use Tax</t>
        </is>
      </c>
      <c r="C22" s="19" t="inlineStr">
        <is>
          <t>% of Material Cost</t>
        </is>
      </c>
      <c r="D22" s="22" t="n">
        <v>0.075</v>
      </c>
      <c r="E22" s="20">
        <f>E21*D22</f>
        <v/>
      </c>
      <c r="F22" s="21" t="n"/>
    </row>
    <row r="23">
      <c r="A23" s="19" t="inlineStr">
        <is>
          <t>3</t>
        </is>
      </c>
      <c r="B23" s="19" t="inlineStr">
        <is>
          <t>Ocean Freight / Shipping</t>
        </is>
      </c>
      <c r="C23" s="19" t="inlineStr">
        <is>
          <t>Per Container</t>
        </is>
      </c>
      <c r="D23" s="23" t="n">
        <v>4500</v>
      </c>
      <c r="E23" s="20">
        <f>E8*D23</f>
        <v/>
      </c>
      <c r="F23" s="21" t="n"/>
    </row>
    <row r="24">
      <c r="A24" s="19" t="inlineStr">
        <is>
          <t>4</t>
        </is>
      </c>
      <c r="B24" s="19" t="inlineStr">
        <is>
          <t>Inland Delivery</t>
        </is>
      </c>
      <c r="C24" s="19" t="inlineStr">
        <is>
          <t>Fixed per Project</t>
        </is>
      </c>
      <c r="D24" s="23" t="n">
        <v>1200</v>
      </c>
      <c r="E24" s="20">
        <f>D24</f>
        <v/>
      </c>
      <c r="F24" s="21" t="n"/>
    </row>
    <row r="25">
      <c r="A25" s="19" t="inlineStr">
        <is>
          <t>5</t>
        </is>
      </c>
      <c r="B25" s="19" t="inlineStr">
        <is>
          <t>Installation</t>
        </is>
      </c>
      <c r="C25" s="19" t="inlineStr">
        <is>
          <t>Per Cabinet Installed</t>
        </is>
      </c>
      <c r="D25" s="23" t="n">
        <v>85</v>
      </c>
      <c r="E25" s="20">
        <f>E7*D25</f>
        <v/>
      </c>
      <c r="F25" s="21" t="n"/>
    </row>
    <row r="26">
      <c r="A26" s="19" t="inlineStr">
        <is>
          <t>6</t>
        </is>
      </c>
      <c r="B26" s="19" t="inlineStr">
        <is>
          <t>Warehousing</t>
        </is>
      </c>
      <c r="C26" s="19" t="inlineStr">
        <is>
          <t>% of Material Cost</t>
        </is>
      </c>
      <c r="D26" s="22" t="n">
        <v>0.02</v>
      </c>
      <c r="E26" s="20">
        <f>E21*D26</f>
        <v/>
      </c>
      <c r="F26" s="21" t="n"/>
    </row>
    <row r="27">
      <c r="A27" s="19" t="inlineStr">
        <is>
          <t>7</t>
        </is>
      </c>
      <c r="B27" s="19" t="inlineStr">
        <is>
          <t>Material Protection</t>
        </is>
      </c>
      <c r="C27" s="19" t="inlineStr">
        <is>
          <t>% of Material Cost</t>
        </is>
      </c>
      <c r="D27" s="22" t="n">
        <v>0.005</v>
      </c>
      <c r="E27" s="20">
        <f>E21*D27</f>
        <v/>
      </c>
      <c r="F27" s="21" t="n"/>
    </row>
    <row r="28">
      <c r="A28" s="19" t="inlineStr">
        <is>
          <t>8</t>
        </is>
      </c>
      <c r="B28" s="19" t="inlineStr">
        <is>
          <t>Insurance</t>
        </is>
      </c>
      <c r="C28" s="19" t="inlineStr">
        <is>
          <t>% of Material Cost</t>
        </is>
      </c>
      <c r="D28" s="22" t="n">
        <v>0.008</v>
      </c>
      <c r="E28" s="20">
        <f>E21*D28</f>
        <v/>
      </c>
      <c r="F28" s="21" t="n"/>
    </row>
    <row r="29">
      <c r="A29" s="19" t="inlineStr">
        <is>
          <t>9</t>
        </is>
      </c>
      <c r="B29" s="19" t="inlineStr">
        <is>
          <t>Miscellaneous Allowance</t>
        </is>
      </c>
      <c r="C29" s="19" t="inlineStr">
        <is>
          <t>Fixed</t>
        </is>
      </c>
      <c r="D29" s="23" t="n">
        <v>500</v>
      </c>
      <c r="E29" s="20">
        <f>D29</f>
        <v/>
      </c>
      <c r="F29" s="21" t="n"/>
    </row>
    <row r="30"/>
    <row r="31">
      <c r="A31" s="18" t="inlineStr">
        <is>
          <t>PRE-MARGIN SUBTOTAL (Rows 1-9)</t>
        </is>
      </c>
      <c r="B31" s="24" t="n"/>
      <c r="C31" s="24" t="n"/>
      <c r="D31" s="24" t="n"/>
      <c r="E31" s="25">
        <f>SUM(E21:E29)</f>
        <v/>
      </c>
      <c r="F31" s="24" t="n"/>
    </row>
    <row r="32"/>
    <row r="33">
      <c r="A33" s="3" t="inlineStr">
        <is>
          <t>D. MARGIN &amp; OVERHEAD</t>
        </is>
      </c>
    </row>
    <row r="34">
      <c r="A34" s="19" t="inlineStr">
        <is>
          <t>10</t>
        </is>
      </c>
      <c r="B34" s="19" t="inlineStr">
        <is>
          <t>Commission</t>
        </is>
      </c>
      <c r="C34" s="19" t="inlineStr">
        <is>
          <t>% of Selling Price</t>
        </is>
      </c>
      <c r="D34" s="22" t="n">
        <v>0.05</v>
      </c>
      <c r="E34" s="20">
        <f>E46*D34</f>
        <v/>
      </c>
      <c r="F34" s="21" t="n"/>
    </row>
    <row r="35">
      <c r="A35" s="19" t="inlineStr">
        <is>
          <t>11</t>
        </is>
      </c>
      <c r="B35" s="19" t="inlineStr">
        <is>
          <t>Bond</t>
        </is>
      </c>
      <c r="C35" s="19" t="inlineStr">
        <is>
          <t>% of Selling Price</t>
        </is>
      </c>
      <c r="D35" s="22" t="n">
        <v>0.015</v>
      </c>
      <c r="E35" s="20">
        <f>E46*D35</f>
        <v/>
      </c>
      <c r="F35" s="21" t="n"/>
    </row>
    <row r="36">
      <c r="A36" s="19" t="inlineStr">
        <is>
          <t>12</t>
        </is>
      </c>
      <c r="B36" s="19" t="inlineStr">
        <is>
          <t>Gross Profit</t>
        </is>
      </c>
      <c r="C36" s="19" t="inlineStr">
        <is>
          <t>% of Selling Price</t>
        </is>
      </c>
      <c r="D36" s="22" t="n">
        <v>0.35</v>
      </c>
      <c r="E36" s="20">
        <f>E46*D36</f>
        <v/>
      </c>
      <c r="F36" s="21" t="n"/>
    </row>
    <row r="37"/>
    <row r="38"/>
    <row r="39">
      <c r="A39" s="3" t="inlineStr">
        <is>
          <t>E. SELLING PRICE CALCULATION</t>
        </is>
      </c>
    </row>
    <row r="40">
      <c r="A40" s="3" t="inlineStr">
        <is>
          <t>Pre-Margin Cost:</t>
        </is>
      </c>
      <c r="B40" s="26">
        <f>E31</f>
        <v/>
      </c>
    </row>
    <row r="41">
      <c r="A41" s="3" t="inlineStr">
        <is>
          <t>GP Target %:</t>
        </is>
      </c>
      <c r="B41" s="27">
        <f>D36</f>
        <v/>
      </c>
    </row>
    <row r="42">
      <c r="A42" s="3" t="inlineStr">
        <is>
          <t>Commission %:</t>
        </is>
      </c>
      <c r="B42" s="27">
        <f>D34</f>
        <v/>
      </c>
    </row>
    <row r="43">
      <c r="A43" s="3" t="inlineStr">
        <is>
          <t>Bond %:</t>
        </is>
      </c>
      <c r="B43" s="27">
        <f>D35</f>
        <v/>
      </c>
    </row>
    <row r="44"/>
    <row r="45"/>
    <row r="46">
      <c r="A46" s="3" t="inlineStr">
        <is>
          <t>SELLING PRICE (TOTAL PROJECT):</t>
        </is>
      </c>
      <c r="E46" s="28">
        <f>IF(1-D36-D34-D35&lt;=0,"ERROR",E31/(1-D36-D34-D35))</f>
        <v/>
      </c>
    </row>
    <row r="47"/>
    <row r="48">
      <c r="A48" s="3" t="inlineStr">
        <is>
          <t>VERIFICATION</t>
        </is>
      </c>
    </row>
    <row r="49">
      <c r="A49" s="3" t="inlineStr">
        <is>
          <t>Gross Profit $:</t>
        </is>
      </c>
      <c r="E49" s="29">
        <f>E46*D36</f>
        <v/>
      </c>
    </row>
    <row r="50">
      <c r="A50" s="3" t="inlineStr">
        <is>
          <t>Gross Profit %:</t>
        </is>
      </c>
      <c r="E50" s="30">
        <f>IF(E46&gt;0,E49/E46,0)</f>
        <v/>
      </c>
    </row>
    <row r="51">
      <c r="A51" s="3" t="inlineStr">
        <is>
          <t>Total Cost $:</t>
        </is>
      </c>
      <c r="E51" s="29">
        <f>E46-E49</f>
        <v/>
      </c>
    </row>
    <row r="52">
      <c r="A52" s="3" t="inlineStr">
        <is>
          <t>Cost per Cabinet:</t>
        </is>
      </c>
      <c r="E52" s="29">
        <f>IF(E7&gt;0,E51/E7,0)</f>
        <v/>
      </c>
    </row>
    <row r="53">
      <c r="A53" s="3" t="inlineStr">
        <is>
          <t>Sell per Cabinet:</t>
        </is>
      </c>
      <c r="E53" s="29">
        <f>IF(E7&gt;0,E46/E7,0)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41" customWidth="1" min="2" max="2"/>
    <col width="37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3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Left of range</t>
        </is>
      </c>
    </row>
    <row r="12">
      <c r="A12" s="11" t="n">
        <v>2</v>
      </c>
      <c r="B12" s="9" t="inlineStr">
        <is>
          <t>W3630</t>
        </is>
      </c>
      <c r="C12" s="11" t="inlineStr">
        <is>
          <t>Wall Cabinet — 36"W x 30"H x 12"D</t>
        </is>
      </c>
      <c r="D12" s="11" t="inlineStr">
        <is>
          <t>Upper</t>
        </is>
      </c>
      <c r="E12" s="10" t="n">
        <v>36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Right of range</t>
        </is>
      </c>
    </row>
    <row r="13">
      <c r="A13" s="11" t="n">
        <v>3</v>
      </c>
      <c r="B13" s="9" t="inlineStr">
        <is>
          <t>W3030</t>
        </is>
      </c>
      <c r="C13" s="11" t="inlineStr">
        <is>
          <t>Wall Cabinet — 30"W x 30"H x 12"D</t>
        </is>
      </c>
      <c r="D13" s="11" t="inlineStr">
        <is>
          <t>Upper</t>
        </is>
      </c>
      <c r="E13" s="10" t="n">
        <v>30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End upper cabinet</t>
        </is>
      </c>
    </row>
    <row r="14">
      <c r="A14" s="11" t="n">
        <v>4</v>
      </c>
      <c r="B14" s="9" t="inlineStr">
        <is>
          <t>WC2430</t>
        </is>
      </c>
      <c r="C14" s="11" t="inlineStr">
        <is>
          <t>Corner Wall Cabinet 24W x 30H</t>
        </is>
      </c>
      <c r="D14" s="11" t="inlineStr">
        <is>
          <t>Upper</t>
        </is>
      </c>
      <c r="E14" s="10" t="n">
        <v>24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Blind corner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36"W x 34.5"H x 24"D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2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B30</t>
        </is>
      </c>
      <c r="C16" s="11" t="inlineStr">
        <is>
          <t>Base Cabinet 30"W x 34.5"H x 24"D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B24</t>
        </is>
      </c>
      <c r="C17" s="11" t="inlineStr">
        <is>
          <t>Base Cabinet 24"W x 34.5"H x 24"D</t>
        </is>
      </c>
      <c r="D17" s="11" t="inlineStr">
        <is>
          <t>Lower</t>
        </is>
      </c>
      <c r="E17" s="10" t="n">
        <v>24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Dishwasher adjacent</t>
        </is>
      </c>
    </row>
    <row r="18">
      <c r="A18" s="11" t="n">
        <v>8</v>
      </c>
      <c r="B18" s="9" t="inlineStr">
        <is>
          <t>B36</t>
        </is>
      </c>
      <c r="C18" s="11" t="inlineStr">
        <is>
          <t>Sink Base 36"W x 34.5"H x 24"D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Sink Base</t>
        </is>
      </c>
    </row>
    <row r="19">
      <c r="A19" s="11" t="n">
        <v>9</v>
      </c>
      <c r="B19" s="9" t="inlineStr">
        <is>
          <t>BC36</t>
        </is>
      </c>
      <c r="C19" s="11" t="inlineStr">
        <is>
          <t>Corner Base Cabinet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Lazy susan option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10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VAN36</t>
        </is>
      </c>
      <c r="C25" s="11" t="inlineStr">
        <is>
          <t>Bath Vanity 36"W x 34.5"H x 21"D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Single sink</t>
        </is>
      </c>
    </row>
    <row r="26">
      <c r="A26" s="11" t="n">
        <v>2</v>
      </c>
      <c r="B26" s="9" t="inlineStr">
        <is>
          <t>MED36</t>
        </is>
      </c>
      <c r="C26" s="11" t="inlineStr">
        <is>
          <t>Medicine Cabinet 36"W x 30"H x 4"D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Surface mount mirror</t>
        </is>
      </c>
    </row>
    <row r="27">
      <c r="A27" s="13" t="inlineStr">
        <is>
          <t>BATHROOM SUBTOTALS</t>
        </is>
      </c>
      <c r="B27" s="32" t="n"/>
      <c r="C27" s="32" t="n"/>
      <c r="D27" s="32" t="n"/>
      <c r="E27" s="32" t="n"/>
      <c r="F27" s="32" t="n"/>
      <c r="G27" s="32" t="n"/>
      <c r="H27" s="14" t="n">
        <v>2</v>
      </c>
      <c r="I27" s="32" t="n"/>
      <c r="J27" s="32" t="n"/>
      <c r="K27" s="32" t="n"/>
    </row>
    <row r="28"/>
    <row r="29">
      <c r="A29" s="13" t="inlineStr">
        <is>
          <t>UNIT A1 GRAND TOTAL CABINET COUNT</t>
        </is>
      </c>
      <c r="B29" s="32" t="n"/>
      <c r="C29" s="32" t="n"/>
      <c r="D29" s="32" t="n"/>
      <c r="E29" s="32" t="n"/>
      <c r="F29" s="32" t="n"/>
      <c r="G29" s="32" t="n"/>
      <c r="H29" s="14" t="n">
        <v>12</v>
      </c>
      <c r="I29" s="32" t="n"/>
      <c r="J29" s="32" t="n"/>
      <c r="K29" s="3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41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5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A2-FA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1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Left of range</t>
        </is>
      </c>
    </row>
    <row r="12">
      <c r="A12" s="11" t="n">
        <v>2</v>
      </c>
      <c r="B12" s="9" t="inlineStr">
        <is>
          <t>W3630</t>
        </is>
      </c>
      <c r="C12" s="11" t="inlineStr">
        <is>
          <t>Wall Cabinet — 36"W x 30"H x 12"D</t>
        </is>
      </c>
      <c r="D12" s="11" t="inlineStr">
        <is>
          <t>Upper</t>
        </is>
      </c>
      <c r="E12" s="10" t="n">
        <v>36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Right of range</t>
        </is>
      </c>
    </row>
    <row r="13">
      <c r="A13" s="11" t="n">
        <v>3</v>
      </c>
      <c r="B13" s="9" t="inlineStr">
        <is>
          <t>W3030</t>
        </is>
      </c>
      <c r="C13" s="11" t="inlineStr">
        <is>
          <t>Wall Cabinet — 30"W x 30"H x 12"D</t>
        </is>
      </c>
      <c r="D13" s="11" t="inlineStr">
        <is>
          <t>Upper</t>
        </is>
      </c>
      <c r="E13" s="10" t="n">
        <v>30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End upper cabinet</t>
        </is>
      </c>
    </row>
    <row r="14">
      <c r="A14" s="11" t="n">
        <v>4</v>
      </c>
      <c r="B14" s="9" t="inlineStr">
        <is>
          <t>WC2430</t>
        </is>
      </c>
      <c r="C14" s="11" t="inlineStr">
        <is>
          <t>Corner Wall Cabinet 24W x 30H</t>
        </is>
      </c>
      <c r="D14" s="11" t="inlineStr">
        <is>
          <t>Upper</t>
        </is>
      </c>
      <c r="E14" s="10" t="n">
        <v>24</v>
      </c>
      <c r="F14" s="10" t="n">
        <v>30</v>
      </c>
      <c r="G14" s="10" t="n">
        <v>12</v>
      </c>
      <c r="H14" s="10" t="n">
        <v>1</v>
      </c>
      <c r="I14" s="11" t="inlineStr">
        <is>
          <t>Std 1</t>
        </is>
      </c>
      <c r="J14" s="11" t="inlineStr">
        <is>
          <t>Elev.1</t>
        </is>
      </c>
      <c r="K14" s="11" t="inlineStr">
        <is>
          <t>Blind corner</t>
        </is>
      </c>
    </row>
    <row r="15">
      <c r="A15" s="11" t="n">
        <v>5</v>
      </c>
      <c r="B15" s="9" t="inlineStr">
        <is>
          <t>B36</t>
        </is>
      </c>
      <c r="C15" s="11" t="inlineStr">
        <is>
          <t>Base Cabinet 36"W x 34.5"H x 24"D</t>
        </is>
      </c>
      <c r="D15" s="11" t="inlineStr">
        <is>
          <t>Lower</t>
        </is>
      </c>
      <c r="E15" s="10" t="n">
        <v>36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B30</t>
        </is>
      </c>
      <c r="C16" s="11" t="inlineStr">
        <is>
          <t>Base Cabinet 30"W x 34.5"H x 24"D</t>
        </is>
      </c>
      <c r="D16" s="11" t="inlineStr">
        <is>
          <t>Lower</t>
        </is>
      </c>
      <c r="E16" s="10" t="n">
        <v>30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B24</t>
        </is>
      </c>
      <c r="C17" s="11" t="inlineStr">
        <is>
          <t>Base Cabinet 24"W x 34.5"H x 24"D</t>
        </is>
      </c>
      <c r="D17" s="11" t="inlineStr">
        <is>
          <t>Lower</t>
        </is>
      </c>
      <c r="E17" s="10" t="n">
        <v>24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Dishwasher adjacent</t>
        </is>
      </c>
    </row>
    <row r="18">
      <c r="A18" s="11" t="n">
        <v>8</v>
      </c>
      <c r="B18" s="9" t="inlineStr">
        <is>
          <t>B36</t>
        </is>
      </c>
      <c r="C18" s="11" t="inlineStr">
        <is>
          <t>Sink Base 36"W x 34.5"H x 24"D (Accessible)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Accessible sink base</t>
        </is>
      </c>
    </row>
    <row r="19">
      <c r="A19" s="11" t="n">
        <v>9</v>
      </c>
      <c r="B19" s="9" t="inlineStr">
        <is>
          <t>BC36</t>
        </is>
      </c>
      <c r="C19" s="11" t="inlineStr">
        <is>
          <t>Corner Base Cabinet</t>
        </is>
      </c>
      <c r="D19" s="11" t="inlineStr">
        <is>
          <t>Lower</t>
        </is>
      </c>
      <c r="E19" s="10" t="n">
        <v>36</v>
      </c>
      <c r="F19" s="10" t="n">
        <v>34.5</v>
      </c>
      <c r="G19" s="10" t="n">
        <v>24</v>
      </c>
      <c r="H19" s="10" t="n">
        <v>1</v>
      </c>
      <c r="I19" s="11" t="inlineStr">
        <is>
          <t>Std 1</t>
        </is>
      </c>
      <c r="J19" s="11" t="inlineStr">
        <is>
          <t>Elev.2</t>
        </is>
      </c>
      <c r="K19" s="11" t="inlineStr">
        <is>
          <t>Lazy susan option</t>
        </is>
      </c>
    </row>
    <row r="20">
      <c r="A20" s="13" t="inlineStr">
        <is>
          <t>KITCHEN SUBTOTALS</t>
        </is>
      </c>
      <c r="B20" s="32" t="n"/>
      <c r="C20" s="32" t="n"/>
      <c r="D20" s="32" t="n"/>
      <c r="E20" s="32" t="n"/>
      <c r="F20" s="32" t="n"/>
      <c r="G20" s="32" t="n"/>
      <c r="H20" s="14" t="n">
        <v>9</v>
      </c>
      <c r="I20" s="32" t="n"/>
      <c r="J20" s="32" t="n"/>
      <c r="K20" s="32" t="n"/>
    </row>
    <row r="21"/>
    <row r="22">
      <c r="A22" s="31" t="inlineStr">
        <is>
          <t>SECTION 2 — BATHROOM VANITY CABINETS</t>
        </is>
      </c>
    </row>
    <row r="23"/>
    <row r="24">
      <c r="A24" s="8" t="inlineStr">
        <is>
          <t>Item</t>
        </is>
      </c>
      <c r="B24" s="8" t="inlineStr">
        <is>
          <t>Cabinet Code</t>
        </is>
      </c>
      <c r="C24" s="8" t="inlineStr">
        <is>
          <t>Description</t>
        </is>
      </c>
      <c r="D24" s="8" t="inlineStr">
        <is>
          <t>Type</t>
        </is>
      </c>
      <c r="E24" s="8" t="inlineStr">
        <is>
          <t>W (in)</t>
        </is>
      </c>
      <c r="F24" s="8" t="inlineStr">
        <is>
          <t>H (in)</t>
        </is>
      </c>
      <c r="G24" s="8" t="inlineStr">
        <is>
          <t>D (in)</t>
        </is>
      </c>
      <c r="H24" s="8" t="inlineStr">
        <is>
          <t>Qty</t>
        </is>
      </c>
      <c r="I24" s="8" t="inlineStr">
        <is>
          <t>Finish Tier</t>
        </is>
      </c>
      <c r="J24" s="8" t="inlineStr">
        <is>
          <t>Elevation Ref.</t>
        </is>
      </c>
      <c r="K24" s="8" t="inlineStr">
        <is>
          <t>Location Note</t>
        </is>
      </c>
    </row>
    <row r="25">
      <c r="A25" s="11" t="n">
        <v>1</v>
      </c>
      <c r="B25" s="9" t="inlineStr">
        <is>
          <t>VAN36</t>
        </is>
      </c>
      <c r="C25" s="11" t="inlineStr">
        <is>
          <t>Bath Vanity 36"W x 34.5"H x 21"D (Accessible)</t>
        </is>
      </c>
      <c r="D25" s="11" t="inlineStr">
        <is>
          <t>Vanity</t>
        </is>
      </c>
      <c r="E25" s="10" t="n">
        <v>36</v>
      </c>
      <c r="F25" s="10" t="n">
        <v>34.5</v>
      </c>
      <c r="G25" s="10" t="n">
        <v>21</v>
      </c>
      <c r="H25" s="10" t="n">
        <v>1</v>
      </c>
      <c r="I25" s="11" t="inlineStr">
        <is>
          <t>Std 1</t>
        </is>
      </c>
      <c r="J25" s="11" t="inlineStr">
        <is>
          <t>Floor Plan</t>
        </is>
      </c>
      <c r="K25" s="11" t="inlineStr">
        <is>
          <t>Accessible single sink</t>
        </is>
      </c>
    </row>
    <row r="26">
      <c r="A26" s="11" t="n">
        <v>2</v>
      </c>
      <c r="B26" s="9" t="inlineStr">
        <is>
          <t>MED36</t>
        </is>
      </c>
      <c r="C26" s="11" t="inlineStr">
        <is>
          <t>Medicine Cabinet 36"W x 30"H x 4"D</t>
        </is>
      </c>
      <c r="D26" s="11" t="inlineStr">
        <is>
          <t>Bath</t>
        </is>
      </c>
      <c r="E26" s="10" t="n">
        <v>36</v>
      </c>
      <c r="F26" s="10" t="n">
        <v>30</v>
      </c>
      <c r="G26" s="10" t="n">
        <v>4</v>
      </c>
      <c r="H26" s="10" t="n">
        <v>1</v>
      </c>
      <c r="I26" s="11" t="inlineStr">
        <is>
          <t>Std 1</t>
        </is>
      </c>
      <c r="J26" s="11" t="inlineStr">
        <is>
          <t>Floor Plan</t>
        </is>
      </c>
      <c r="K26" s="11" t="inlineStr">
        <is>
          <t>Surface mount mirror</t>
        </is>
      </c>
    </row>
    <row r="27">
      <c r="A27" s="13" t="inlineStr">
        <is>
          <t>BATHROOM SUBTOTALS</t>
        </is>
      </c>
      <c r="B27" s="32" t="n"/>
      <c r="C27" s="32" t="n"/>
      <c r="D27" s="32" t="n"/>
      <c r="E27" s="32" t="n"/>
      <c r="F27" s="32" t="n"/>
      <c r="G27" s="32" t="n"/>
      <c r="H27" s="14" t="n">
        <v>2</v>
      </c>
      <c r="I27" s="32" t="n"/>
      <c r="J27" s="32" t="n"/>
      <c r="K27" s="32" t="n"/>
    </row>
    <row r="28"/>
    <row r="29">
      <c r="A29" s="13" t="inlineStr">
        <is>
          <t>UNIT A2-FA GRAND TOTAL CABINET COUNT</t>
        </is>
      </c>
      <c r="B29" s="32" t="n"/>
      <c r="C29" s="32" t="n"/>
      <c r="D29" s="32" t="n"/>
      <c r="E29" s="32" t="n"/>
      <c r="F29" s="32" t="n"/>
      <c r="G29" s="32" t="n"/>
      <c r="H29" s="14" t="n">
        <v>11</v>
      </c>
      <c r="I29" s="32" t="n"/>
      <c r="J29" s="32" t="n"/>
      <c r="K29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A3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1-Bedroom / 1-Bath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1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B36</t>
        </is>
      </c>
      <c r="C13" s="11" t="inlineStr">
        <is>
          <t>Base Cabinet 36"W x 34.5"H x 24"D</t>
        </is>
      </c>
      <c r="D13" s="11" t="inlineStr">
        <is>
          <t>Lower</t>
        </is>
      </c>
      <c r="E13" s="10" t="n">
        <v>36</v>
      </c>
      <c r="F13" s="10" t="n">
        <v>34.5</v>
      </c>
      <c r="G13" s="10" t="n">
        <v>24</v>
      </c>
      <c r="H13" s="10" t="n">
        <v>2</v>
      </c>
      <c r="I13" s="11" t="inlineStr">
        <is>
          <t>Std 1</t>
        </is>
      </c>
      <c r="J13" s="11" t="inlineStr">
        <is>
          <t>Elev.2</t>
        </is>
      </c>
      <c r="K13" s="11" t="inlineStr">
        <is>
          <t>Standard base</t>
        </is>
      </c>
    </row>
    <row r="14">
      <c r="A14" s="11" t="n">
        <v>4</v>
      </c>
      <c r="B14" s="9" t="inlineStr">
        <is>
          <t>B30</t>
        </is>
      </c>
      <c r="C14" s="11" t="inlineStr">
        <is>
          <t>Base Cabinet 30"W x 34.5"H x 24"D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B24</t>
        </is>
      </c>
      <c r="C15" s="11" t="inlineStr">
        <is>
          <t>Base Cabinet 24"W x 34.5"H x 24"D</t>
        </is>
      </c>
      <c r="D15" s="11" t="inlineStr">
        <is>
          <t>Lower</t>
        </is>
      </c>
      <c r="E15" s="10" t="n">
        <v>24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B36</t>
        </is>
      </c>
      <c r="C16" s="11" t="inlineStr">
        <is>
          <t>Sink Base 36"W x 34.5"H x 24"D</t>
        </is>
      </c>
      <c r="D16" s="11" t="inlineStr">
        <is>
          <t>Lower</t>
        </is>
      </c>
      <c r="E16" s="10" t="n">
        <v>36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Sink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8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VAN30</t>
        </is>
      </c>
      <c r="C22" s="11" t="inlineStr">
        <is>
          <t>Bath Vanity 30"W x 34.5"H x 21"D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1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Single sink</t>
        </is>
      </c>
    </row>
    <row r="23">
      <c r="A23" s="13" t="inlineStr">
        <is>
          <t>BATHROOM SUBTOTALS</t>
        </is>
      </c>
      <c r="B23" s="32" t="n"/>
      <c r="C23" s="32" t="n"/>
      <c r="D23" s="32" t="n"/>
      <c r="E23" s="32" t="n"/>
      <c r="F23" s="32" t="n"/>
      <c r="G23" s="32" t="n"/>
      <c r="H23" s="14" t="n">
        <v>1</v>
      </c>
      <c r="I23" s="32" t="n"/>
      <c r="J23" s="32" t="n"/>
      <c r="K23" s="32" t="n"/>
    </row>
    <row r="24"/>
    <row r="25">
      <c r="A25" s="13" t="inlineStr">
        <is>
          <t>UNIT A3 GRAND TOTAL CABINET COUNT</t>
        </is>
      </c>
      <c r="B25" s="32" t="n"/>
      <c r="C25" s="32" t="n"/>
      <c r="D25" s="32" t="n"/>
      <c r="E25" s="32" t="n"/>
      <c r="F25" s="32" t="n"/>
      <c r="G25" s="32" t="n"/>
      <c r="H25" s="14" t="n">
        <v>9</v>
      </c>
      <c r="I25" s="32" t="n"/>
      <c r="J25" s="32" t="n"/>
      <c r="K25" s="3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20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B1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WC2430</t>
        </is>
      </c>
      <c r="C13" s="11" t="inlineStr">
        <is>
          <t>Corner Wall Cabinet 24W x 30H</t>
        </is>
      </c>
      <c r="D13" s="11" t="inlineStr">
        <is>
          <t>Upper</t>
        </is>
      </c>
      <c r="E13" s="10" t="n">
        <v>24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Blind corner</t>
        </is>
      </c>
    </row>
    <row r="14">
      <c r="A14" s="11" t="n">
        <v>4</v>
      </c>
      <c r="B14" s="9" t="inlineStr">
        <is>
          <t>B36</t>
        </is>
      </c>
      <c r="C14" s="11" t="inlineStr">
        <is>
          <t>Base Cabinet 36"W x 34.5"H x 24"D</t>
        </is>
      </c>
      <c r="D14" s="11" t="inlineStr">
        <is>
          <t>Lower</t>
        </is>
      </c>
      <c r="E14" s="10" t="n">
        <v>36</v>
      </c>
      <c r="F14" s="10" t="n">
        <v>34.5</v>
      </c>
      <c r="G14" s="10" t="n">
        <v>24</v>
      </c>
      <c r="H14" s="10" t="n">
        <v>3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B30</t>
        </is>
      </c>
      <c r="C15" s="11" t="inlineStr">
        <is>
          <t>Base Cabinet 30"W x 34.5"H x 24"D</t>
        </is>
      </c>
      <c r="D15" s="11" t="inlineStr">
        <is>
          <t>Lower</t>
        </is>
      </c>
      <c r="E15" s="10" t="n">
        <v>30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24"W x 34.5"H x 24"D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B36</t>
        </is>
      </c>
      <c r="C17" s="11" t="inlineStr">
        <is>
          <t>Sink Base 36"W x 34.5"H x 24"D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Sink base</t>
        </is>
      </c>
    </row>
    <row r="18">
      <c r="A18" s="11" t="n">
        <v>8</v>
      </c>
      <c r="B18" s="9" t="inlineStr">
        <is>
          <t>BC36</t>
        </is>
      </c>
      <c r="C18" s="11" t="inlineStr">
        <is>
          <t>Corner Base Cabinet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Lazy susan option</t>
        </is>
      </c>
    </row>
    <row r="19">
      <c r="A19" s="13" t="inlineStr">
        <is>
          <t>KITCHEN SUBTOTALS</t>
        </is>
      </c>
      <c r="B19" s="32" t="n"/>
      <c r="C19" s="32" t="n"/>
      <c r="D19" s="32" t="n"/>
      <c r="E19" s="32" t="n"/>
      <c r="F19" s="32" t="n"/>
      <c r="G19" s="32" t="n"/>
      <c r="H19" s="14" t="n">
        <v>12</v>
      </c>
      <c r="I19" s="32" t="n"/>
      <c r="J19" s="32" t="n"/>
      <c r="K19" s="32" t="n"/>
    </row>
    <row r="20"/>
    <row r="21">
      <c r="A21" s="31" t="inlineStr">
        <is>
          <t>SECTION 2 — BATHROOM VANITY CABINETS</t>
        </is>
      </c>
    </row>
    <row r="22"/>
    <row r="23">
      <c r="A23" s="8" t="inlineStr">
        <is>
          <t>Item</t>
        </is>
      </c>
      <c r="B23" s="8" t="inlineStr">
        <is>
          <t>Cabinet Code</t>
        </is>
      </c>
      <c r="C23" s="8" t="inlineStr">
        <is>
          <t>Description</t>
        </is>
      </c>
      <c r="D23" s="8" t="inlineStr">
        <is>
          <t>Type</t>
        </is>
      </c>
      <c r="E23" s="8" t="inlineStr">
        <is>
          <t>W (in)</t>
        </is>
      </c>
      <c r="F23" s="8" t="inlineStr">
        <is>
          <t>H (in)</t>
        </is>
      </c>
      <c r="G23" s="8" t="inlineStr">
        <is>
          <t>D (in)</t>
        </is>
      </c>
      <c r="H23" s="8" t="inlineStr">
        <is>
          <t>Qty</t>
        </is>
      </c>
      <c r="I23" s="8" t="inlineStr">
        <is>
          <t>Finish Tier</t>
        </is>
      </c>
      <c r="J23" s="8" t="inlineStr">
        <is>
          <t>Elevation Ref.</t>
        </is>
      </c>
      <c r="K23" s="8" t="inlineStr">
        <is>
          <t>Location Note</t>
        </is>
      </c>
    </row>
    <row r="24">
      <c r="A24" s="11" t="n">
        <v>1</v>
      </c>
      <c r="B24" s="9" t="inlineStr">
        <is>
          <t>VAN30</t>
        </is>
      </c>
      <c r="C24" s="11" t="inlineStr">
        <is>
          <t>Bath Vanity 30"W x 34.5"H x 21"D</t>
        </is>
      </c>
      <c r="D24" s="11" t="inlineStr">
        <is>
          <t>Vanity</t>
        </is>
      </c>
      <c r="E24" s="10" t="n">
        <v>30</v>
      </c>
      <c r="F24" s="10" t="n">
        <v>34.5</v>
      </c>
      <c r="G24" s="10" t="n">
        <v>21</v>
      </c>
      <c r="H24" s="10" t="n">
        <v>2</v>
      </c>
      <c r="I24" s="11" t="inlineStr">
        <is>
          <t>Std 1</t>
        </is>
      </c>
      <c r="J24" s="11" t="inlineStr">
        <is>
          <t>Floor Plan</t>
        </is>
      </c>
      <c r="K24" s="11" t="inlineStr">
        <is>
          <t>Single sink</t>
        </is>
      </c>
    </row>
    <row r="25">
      <c r="A25" s="11" t="n">
        <v>2</v>
      </c>
      <c r="B25" s="9" t="inlineStr">
        <is>
          <t>LIN18</t>
        </is>
      </c>
      <c r="C25" s="11" t="inlineStr">
        <is>
          <t>Linen Cabinet 18"W x 84"H x 18"D</t>
        </is>
      </c>
      <c r="D25" s="11" t="inlineStr">
        <is>
          <t>Bath</t>
        </is>
      </c>
      <c r="E25" s="10" t="n">
        <v>18</v>
      </c>
      <c r="F25" s="10" t="n">
        <v>84</v>
      </c>
      <c r="G25" s="10" t="n">
        <v>18</v>
      </c>
      <c r="H25" s="10" t="n">
        <v>1</v>
      </c>
      <c r="I25" s="11" t="inlineStr">
        <is>
          <t>Std 1</t>
        </is>
      </c>
      <c r="J25" s="11" t="inlineStr">
        <is>
          <t>Elev.3</t>
        </is>
      </c>
      <c r="K25" s="11" t="inlineStr">
        <is>
          <t>Linen cabinet</t>
        </is>
      </c>
    </row>
    <row r="26">
      <c r="A26" s="13" t="inlineStr">
        <is>
          <t>BATHROOM SUBTOTALS</t>
        </is>
      </c>
      <c r="B26" s="32" t="n"/>
      <c r="C26" s="32" t="n"/>
      <c r="D26" s="32" t="n"/>
      <c r="E26" s="32" t="n"/>
      <c r="F26" s="32" t="n"/>
      <c r="G26" s="32" t="n"/>
      <c r="H26" s="14" t="n">
        <v>3</v>
      </c>
      <c r="I26" s="32" t="n"/>
      <c r="J26" s="32" t="n"/>
      <c r="K26" s="32" t="n"/>
    </row>
    <row r="27"/>
    <row r="28">
      <c r="A28" s="13" t="inlineStr">
        <is>
          <t>UNIT B1 GRAND TOTAL CABINET COUNT</t>
        </is>
      </c>
      <c r="B28" s="32" t="n"/>
      <c r="C28" s="32" t="n"/>
      <c r="D28" s="32" t="n"/>
      <c r="E28" s="32" t="n"/>
      <c r="F28" s="32" t="n"/>
      <c r="G28" s="32" t="n"/>
      <c r="H28" s="14" t="n">
        <v>15</v>
      </c>
      <c r="I28" s="32" t="n"/>
      <c r="J28" s="32" t="n"/>
      <c r="K28" s="3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8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41" customWidth="1" min="2" max="2"/>
    <col width="48" customWidth="1" min="3" max="3"/>
    <col width="10" customWidth="1" min="4" max="4"/>
    <col width="15" customWidth="1" min="5" max="5"/>
    <col width="44" customWidth="1" min="6" max="6"/>
    <col width="10" customWidth="1" min="7" max="7"/>
    <col width="10" customWidth="1" min="8" max="8"/>
    <col width="15" customWidth="1" min="9" max="9"/>
    <col width="23" customWidth="1" min="10" max="10"/>
    <col width="25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B2-FA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Fully Accessible ADA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WC2430</t>
        </is>
      </c>
      <c r="C13" s="11" t="inlineStr">
        <is>
          <t>Corner Wall Cabinet 24W x 30H</t>
        </is>
      </c>
      <c r="D13" s="11" t="inlineStr">
        <is>
          <t>Upper</t>
        </is>
      </c>
      <c r="E13" s="10" t="n">
        <v>24</v>
      </c>
      <c r="F13" s="10" t="n">
        <v>30</v>
      </c>
      <c r="G13" s="10" t="n">
        <v>12</v>
      </c>
      <c r="H13" s="10" t="n">
        <v>1</v>
      </c>
      <c r="I13" s="11" t="inlineStr">
        <is>
          <t>Std 1</t>
        </is>
      </c>
      <c r="J13" s="11" t="inlineStr">
        <is>
          <t>Elev.1</t>
        </is>
      </c>
      <c r="K13" s="11" t="inlineStr">
        <is>
          <t>Blind corner</t>
        </is>
      </c>
    </row>
    <row r="14">
      <c r="A14" s="11" t="n">
        <v>4</v>
      </c>
      <c r="B14" s="9" t="inlineStr">
        <is>
          <t>B36</t>
        </is>
      </c>
      <c r="C14" s="11" t="inlineStr">
        <is>
          <t>Base Cabinet 36"W x 34.5"H x 24"D</t>
        </is>
      </c>
      <c r="D14" s="11" t="inlineStr">
        <is>
          <t>Lower</t>
        </is>
      </c>
      <c r="E14" s="10" t="n">
        <v>36</v>
      </c>
      <c r="F14" s="10" t="n">
        <v>34.5</v>
      </c>
      <c r="G14" s="10" t="n">
        <v>24</v>
      </c>
      <c r="H14" s="10" t="n">
        <v>2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B30</t>
        </is>
      </c>
      <c r="C15" s="11" t="inlineStr">
        <is>
          <t>Base Cabinet 30"W x 34.5"H x 24"D</t>
        </is>
      </c>
      <c r="D15" s="11" t="inlineStr">
        <is>
          <t>Lower</t>
        </is>
      </c>
      <c r="E15" s="10" t="n">
        <v>30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B24</t>
        </is>
      </c>
      <c r="C16" s="11" t="inlineStr">
        <is>
          <t>Base Cabinet 24"W x 34.5"H x 24"D</t>
        </is>
      </c>
      <c r="D16" s="11" t="inlineStr">
        <is>
          <t>Lower</t>
        </is>
      </c>
      <c r="E16" s="10" t="n">
        <v>24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Standard base</t>
        </is>
      </c>
    </row>
    <row r="17">
      <c r="A17" s="11" t="n">
        <v>7</v>
      </c>
      <c r="B17" s="9" t="inlineStr">
        <is>
          <t>B36</t>
        </is>
      </c>
      <c r="C17" s="11" t="inlineStr">
        <is>
          <t>Sink Base 36"W x 34.5"H x 24"D (Accessible)</t>
        </is>
      </c>
      <c r="D17" s="11" t="inlineStr">
        <is>
          <t>Lower</t>
        </is>
      </c>
      <c r="E17" s="10" t="n">
        <v>36</v>
      </c>
      <c r="F17" s="10" t="n">
        <v>34.5</v>
      </c>
      <c r="G17" s="10" t="n">
        <v>24</v>
      </c>
      <c r="H17" s="10" t="n">
        <v>1</v>
      </c>
      <c r="I17" s="11" t="inlineStr">
        <is>
          <t>Std 1</t>
        </is>
      </c>
      <c r="J17" s="11" t="inlineStr">
        <is>
          <t>Elev.2</t>
        </is>
      </c>
      <c r="K17" s="11" t="inlineStr">
        <is>
          <t>Accessible sink base</t>
        </is>
      </c>
    </row>
    <row r="18">
      <c r="A18" s="11" t="n">
        <v>8</v>
      </c>
      <c r="B18" s="9" t="inlineStr">
        <is>
          <t>BC36</t>
        </is>
      </c>
      <c r="C18" s="11" t="inlineStr">
        <is>
          <t>Corner Base Cabinet</t>
        </is>
      </c>
      <c r="D18" s="11" t="inlineStr">
        <is>
          <t>Lower</t>
        </is>
      </c>
      <c r="E18" s="10" t="n">
        <v>36</v>
      </c>
      <c r="F18" s="10" t="n">
        <v>34.5</v>
      </c>
      <c r="G18" s="10" t="n">
        <v>24</v>
      </c>
      <c r="H18" s="10" t="n">
        <v>1</v>
      </c>
      <c r="I18" s="11" t="inlineStr">
        <is>
          <t>Std 1</t>
        </is>
      </c>
      <c r="J18" s="11" t="inlineStr">
        <is>
          <t>Elev.2</t>
        </is>
      </c>
      <c r="K18" s="11" t="inlineStr">
        <is>
          <t>Lazy susan option</t>
        </is>
      </c>
    </row>
    <row r="19">
      <c r="A19" s="13" t="inlineStr">
        <is>
          <t>KITCHEN SUBTOTALS</t>
        </is>
      </c>
      <c r="B19" s="32" t="n"/>
      <c r="C19" s="32" t="n"/>
      <c r="D19" s="32" t="n"/>
      <c r="E19" s="32" t="n"/>
      <c r="F19" s="32" t="n"/>
      <c r="G19" s="32" t="n"/>
      <c r="H19" s="14" t="n">
        <v>11</v>
      </c>
      <c r="I19" s="32" t="n"/>
      <c r="J19" s="32" t="n"/>
      <c r="K19" s="32" t="n"/>
    </row>
    <row r="20"/>
    <row r="21">
      <c r="A21" s="31" t="inlineStr">
        <is>
          <t>SECTION 2 — BATHROOM VANITY CABINETS</t>
        </is>
      </c>
    </row>
    <row r="22"/>
    <row r="23">
      <c r="A23" s="8" t="inlineStr">
        <is>
          <t>Item</t>
        </is>
      </c>
      <c r="B23" s="8" t="inlineStr">
        <is>
          <t>Cabinet Code</t>
        </is>
      </c>
      <c r="C23" s="8" t="inlineStr">
        <is>
          <t>Description</t>
        </is>
      </c>
      <c r="D23" s="8" t="inlineStr">
        <is>
          <t>Type</t>
        </is>
      </c>
      <c r="E23" s="8" t="inlineStr">
        <is>
          <t>W (in)</t>
        </is>
      </c>
      <c r="F23" s="8" t="inlineStr">
        <is>
          <t>H (in)</t>
        </is>
      </c>
      <c r="G23" s="8" t="inlineStr">
        <is>
          <t>D (in)</t>
        </is>
      </c>
      <c r="H23" s="8" t="inlineStr">
        <is>
          <t>Qty</t>
        </is>
      </c>
      <c r="I23" s="8" t="inlineStr">
        <is>
          <t>Finish Tier</t>
        </is>
      </c>
      <c r="J23" s="8" t="inlineStr">
        <is>
          <t>Elevation Ref.</t>
        </is>
      </c>
      <c r="K23" s="8" t="inlineStr">
        <is>
          <t>Location Note</t>
        </is>
      </c>
    </row>
    <row r="24">
      <c r="A24" s="11" t="n">
        <v>1</v>
      </c>
      <c r="B24" s="9" t="inlineStr">
        <is>
          <t>VAN30</t>
        </is>
      </c>
      <c r="C24" s="11" t="inlineStr">
        <is>
          <t>Bath Vanity 30"W x 34.5"H x 21"D (Accessible)</t>
        </is>
      </c>
      <c r="D24" s="11" t="inlineStr">
        <is>
          <t>Vanity</t>
        </is>
      </c>
      <c r="E24" s="10" t="n">
        <v>30</v>
      </c>
      <c r="F24" s="10" t="n">
        <v>34.5</v>
      </c>
      <c r="G24" s="10" t="n">
        <v>21</v>
      </c>
      <c r="H24" s="10" t="n">
        <v>2</v>
      </c>
      <c r="I24" s="11" t="inlineStr">
        <is>
          <t>Std 1</t>
        </is>
      </c>
      <c r="J24" s="11" t="inlineStr">
        <is>
          <t>Floor Plan</t>
        </is>
      </c>
      <c r="K24" s="11" t="inlineStr">
        <is>
          <t>Accessible single sink</t>
        </is>
      </c>
    </row>
    <row r="25">
      <c r="A25" s="11" t="n">
        <v>2</v>
      </c>
      <c r="B25" s="9" t="inlineStr">
        <is>
          <t>LIN18</t>
        </is>
      </c>
      <c r="C25" s="11" t="inlineStr">
        <is>
          <t>Linen Cabinet 18"W x 84"H x 18"D</t>
        </is>
      </c>
      <c r="D25" s="11" t="inlineStr">
        <is>
          <t>Bath</t>
        </is>
      </c>
      <c r="E25" s="10" t="n">
        <v>18</v>
      </c>
      <c r="F25" s="10" t="n">
        <v>84</v>
      </c>
      <c r="G25" s="10" t="n">
        <v>18</v>
      </c>
      <c r="H25" s="10" t="n">
        <v>1</v>
      </c>
      <c r="I25" s="11" t="inlineStr">
        <is>
          <t>Std 1</t>
        </is>
      </c>
      <c r="J25" s="11" t="inlineStr">
        <is>
          <t>Elev.3</t>
        </is>
      </c>
      <c r="K25" s="11" t="inlineStr">
        <is>
          <t>Linen cabinet</t>
        </is>
      </c>
    </row>
    <row r="26">
      <c r="A26" s="13" t="inlineStr">
        <is>
          <t>BATHROOM SUBTOTALS</t>
        </is>
      </c>
      <c r="B26" s="32" t="n"/>
      <c r="C26" s="32" t="n"/>
      <c r="D26" s="32" t="n"/>
      <c r="E26" s="32" t="n"/>
      <c r="F26" s="32" t="n"/>
      <c r="G26" s="32" t="n"/>
      <c r="H26" s="14" t="n">
        <v>3</v>
      </c>
      <c r="I26" s="32" t="n"/>
      <c r="J26" s="32" t="n"/>
      <c r="K26" s="32" t="n"/>
    </row>
    <row r="27"/>
    <row r="28">
      <c r="A28" s="13" t="inlineStr">
        <is>
          <t>UNIT B2-FA GRAND TOTAL CABINET COUNT</t>
        </is>
      </c>
      <c r="B28" s="32" t="n"/>
      <c r="C28" s="32" t="n"/>
      <c r="D28" s="32" t="n"/>
      <c r="E28" s="32" t="n"/>
      <c r="F28" s="32" t="n"/>
      <c r="G28" s="32" t="n"/>
      <c r="H28" s="14" t="n">
        <v>14</v>
      </c>
      <c r="I28" s="32" t="n"/>
      <c r="J28" s="32" t="n"/>
      <c r="K28" s="3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41" customWidth="1" min="2" max="2"/>
    <col width="36" customWidth="1" min="3" max="3"/>
    <col width="10" customWidth="1" min="4" max="4"/>
    <col width="15" customWidth="1" min="5" max="5"/>
    <col width="34" customWidth="1" min="6" max="6"/>
    <col width="10" customWidth="1" min="7" max="7"/>
    <col width="10" customWidth="1" min="8" max="8"/>
    <col width="15" customWidth="1" min="9" max="9"/>
    <col width="23" customWidth="1" min="10" max="10"/>
    <col width="17" customWidth="1" min="11" max="11"/>
  </cols>
  <sheetData>
    <row r="1">
      <c r="A1" s="1" t="inlineStr">
        <is>
          <t>CABINET SHOP DRAWING — UNIT SCHEDULE</t>
        </is>
      </c>
    </row>
    <row r="2">
      <c r="A2" s="2" t="inlineStr">
        <is>
          <t>Atlantic Pacific Communities  |  Corwil Architects</t>
        </is>
      </c>
    </row>
    <row r="3"/>
    <row r="4">
      <c r="A4" s="3" t="inlineStr">
        <is>
          <t>PROJECT:</t>
        </is>
      </c>
      <c r="B4" s="5" t="inlineStr">
        <is>
          <t>Casa Familia</t>
        </is>
      </c>
      <c r="E4" s="3" t="inlineStr">
        <is>
          <t>UNIT TYPE:</t>
        </is>
      </c>
      <c r="F4" s="3" t="inlineStr">
        <is>
          <t>B3</t>
        </is>
      </c>
      <c r="I4" s="3" t="inlineStr">
        <is>
          <t>DATE:</t>
        </is>
      </c>
      <c r="J4" s="5">
        <f>TODAY()</f>
        <v/>
      </c>
    </row>
    <row r="5">
      <c r="A5" s="3" t="inlineStr">
        <is>
          <t>ADDRESS:</t>
        </is>
      </c>
      <c r="B5" s="5" t="inlineStr">
        <is>
          <t>Atlantic Pacific Communities, Miami FL</t>
        </is>
      </c>
      <c r="E5" s="3" t="inlineStr">
        <is>
          <t>DESCRIPTION:</t>
        </is>
      </c>
      <c r="F5" s="5" t="inlineStr">
        <is>
          <t>2-Bedroom / 2-Bath — FHA Type B</t>
        </is>
      </c>
      <c r="I5" s="3" t="inlineStr">
        <is>
          <t>PREPARED BY:</t>
        </is>
      </c>
      <c r="J5" s="5" t="inlineStr">
        <is>
          <t>AI Estimation System</t>
        </is>
      </c>
    </row>
    <row r="6">
      <c r="A6" s="3" t="inlineStr">
        <is>
          <t>DRAWING REF:</t>
        </is>
      </c>
      <c r="B6" s="5" t="inlineStr">
        <is>
          <t>Unit Plans FHA/ADA elevation files</t>
        </is>
      </c>
      <c r="E6" s="3" t="inlineStr">
        <is>
          <t>FINISH TIER:</t>
        </is>
      </c>
      <c r="F6" s="5" t="inlineStr">
        <is>
          <t>Standard 1</t>
        </is>
      </c>
    </row>
    <row r="7"/>
    <row r="8">
      <c r="A8" s="31" t="inlineStr">
        <is>
          <t>SECTION 1 — KITCHEN CABINETS</t>
        </is>
      </c>
    </row>
    <row r="9"/>
    <row r="10">
      <c r="A10" s="8" t="inlineStr">
        <is>
          <t>Item</t>
        </is>
      </c>
      <c r="B10" s="8" t="inlineStr">
        <is>
          <t>Cabinet Code</t>
        </is>
      </c>
      <c r="C10" s="8" t="inlineStr">
        <is>
          <t>Description</t>
        </is>
      </c>
      <c r="D10" s="8" t="inlineStr">
        <is>
          <t>Type</t>
        </is>
      </c>
      <c r="E10" s="8" t="inlineStr">
        <is>
          <t>W (in)</t>
        </is>
      </c>
      <c r="F10" s="8" t="inlineStr">
        <is>
          <t>H (in)</t>
        </is>
      </c>
      <c r="G10" s="8" t="inlineStr">
        <is>
          <t>D (in)</t>
        </is>
      </c>
      <c r="H10" s="8" t="inlineStr">
        <is>
          <t>Qty</t>
        </is>
      </c>
      <c r="I10" s="8" t="inlineStr">
        <is>
          <t>Finish Tier</t>
        </is>
      </c>
      <c r="J10" s="8" t="inlineStr">
        <is>
          <t>Elevation Ref.</t>
        </is>
      </c>
      <c r="K10" s="8" t="inlineStr">
        <is>
          <t>Location Note</t>
        </is>
      </c>
    </row>
    <row r="11">
      <c r="A11" s="11" t="n">
        <v>1</v>
      </c>
      <c r="B11" s="9" t="inlineStr">
        <is>
          <t>W3630</t>
        </is>
      </c>
      <c r="C11" s="11" t="inlineStr">
        <is>
          <t>Wall Cabinet — 36"W x 30"H x 12"D</t>
        </is>
      </c>
      <c r="D11" s="11" t="inlineStr">
        <is>
          <t>Upper</t>
        </is>
      </c>
      <c r="E11" s="10" t="n">
        <v>36</v>
      </c>
      <c r="F11" s="10" t="n">
        <v>30</v>
      </c>
      <c r="G11" s="10" t="n">
        <v>12</v>
      </c>
      <c r="H11" s="10" t="n">
        <v>2</v>
      </c>
      <c r="I11" s="11" t="inlineStr">
        <is>
          <t>Std 1</t>
        </is>
      </c>
      <c r="J11" s="11" t="inlineStr">
        <is>
          <t>Elev.1</t>
        </is>
      </c>
      <c r="K11" s="11" t="inlineStr">
        <is>
          <t>Standard upper</t>
        </is>
      </c>
    </row>
    <row r="12">
      <c r="A12" s="11" t="n">
        <v>2</v>
      </c>
      <c r="B12" s="9" t="inlineStr">
        <is>
          <t>W3030</t>
        </is>
      </c>
      <c r="C12" s="11" t="inlineStr">
        <is>
          <t>Wall Cabinet — 30"W x 30"H x 12"D</t>
        </is>
      </c>
      <c r="D12" s="11" t="inlineStr">
        <is>
          <t>Upper</t>
        </is>
      </c>
      <c r="E12" s="10" t="n">
        <v>30</v>
      </c>
      <c r="F12" s="10" t="n">
        <v>30</v>
      </c>
      <c r="G12" s="10" t="n">
        <v>12</v>
      </c>
      <c r="H12" s="10" t="n">
        <v>2</v>
      </c>
      <c r="I12" s="11" t="inlineStr">
        <is>
          <t>Std 1</t>
        </is>
      </c>
      <c r="J12" s="11" t="inlineStr">
        <is>
          <t>Elev.1</t>
        </is>
      </c>
      <c r="K12" s="11" t="inlineStr">
        <is>
          <t>Standard upper</t>
        </is>
      </c>
    </row>
    <row r="13">
      <c r="A13" s="11" t="n">
        <v>3</v>
      </c>
      <c r="B13" s="9" t="inlineStr">
        <is>
          <t>B36</t>
        </is>
      </c>
      <c r="C13" s="11" t="inlineStr">
        <is>
          <t>Base Cabinet 36"W x 34.5"H x 24"D</t>
        </is>
      </c>
      <c r="D13" s="11" t="inlineStr">
        <is>
          <t>Lower</t>
        </is>
      </c>
      <c r="E13" s="10" t="n">
        <v>36</v>
      </c>
      <c r="F13" s="10" t="n">
        <v>34.5</v>
      </c>
      <c r="G13" s="10" t="n">
        <v>24</v>
      </c>
      <c r="H13" s="10" t="n">
        <v>3</v>
      </c>
      <c r="I13" s="11" t="inlineStr">
        <is>
          <t>Std 1</t>
        </is>
      </c>
      <c r="J13" s="11" t="inlineStr">
        <is>
          <t>Elev.2</t>
        </is>
      </c>
      <c r="K13" s="11" t="inlineStr">
        <is>
          <t>Standard base</t>
        </is>
      </c>
    </row>
    <row r="14">
      <c r="A14" s="11" t="n">
        <v>4</v>
      </c>
      <c r="B14" s="9" t="inlineStr">
        <is>
          <t>B30</t>
        </is>
      </c>
      <c r="C14" s="11" t="inlineStr">
        <is>
          <t>Base Cabinet 30"W x 34.5"H x 24"D</t>
        </is>
      </c>
      <c r="D14" s="11" t="inlineStr">
        <is>
          <t>Lower</t>
        </is>
      </c>
      <c r="E14" s="10" t="n">
        <v>30</v>
      </c>
      <c r="F14" s="10" t="n">
        <v>34.5</v>
      </c>
      <c r="G14" s="10" t="n">
        <v>24</v>
      </c>
      <c r="H14" s="10" t="n">
        <v>1</v>
      </c>
      <c r="I14" s="11" t="inlineStr">
        <is>
          <t>Std 1</t>
        </is>
      </c>
      <c r="J14" s="11" t="inlineStr">
        <is>
          <t>Elev.2</t>
        </is>
      </c>
      <c r="K14" s="11" t="inlineStr">
        <is>
          <t>Standard base</t>
        </is>
      </c>
    </row>
    <row r="15">
      <c r="A15" s="11" t="n">
        <v>5</v>
      </c>
      <c r="B15" s="9" t="inlineStr">
        <is>
          <t>B24</t>
        </is>
      </c>
      <c r="C15" s="11" t="inlineStr">
        <is>
          <t>Base Cabinet 24"W x 34.5"H x 24"D</t>
        </is>
      </c>
      <c r="D15" s="11" t="inlineStr">
        <is>
          <t>Lower</t>
        </is>
      </c>
      <c r="E15" s="10" t="n">
        <v>24</v>
      </c>
      <c r="F15" s="10" t="n">
        <v>34.5</v>
      </c>
      <c r="G15" s="10" t="n">
        <v>24</v>
      </c>
      <c r="H15" s="10" t="n">
        <v>1</v>
      </c>
      <c r="I15" s="11" t="inlineStr">
        <is>
          <t>Std 1</t>
        </is>
      </c>
      <c r="J15" s="11" t="inlineStr">
        <is>
          <t>Elev.2</t>
        </is>
      </c>
      <c r="K15" s="11" t="inlineStr">
        <is>
          <t>Standard base</t>
        </is>
      </c>
    </row>
    <row r="16">
      <c r="A16" s="11" t="n">
        <v>6</v>
      </c>
      <c r="B16" s="9" t="inlineStr">
        <is>
          <t>B36</t>
        </is>
      </c>
      <c r="C16" s="11" t="inlineStr">
        <is>
          <t>Sink Base 36"W x 34.5"H x 24"D</t>
        </is>
      </c>
      <c r="D16" s="11" t="inlineStr">
        <is>
          <t>Lower</t>
        </is>
      </c>
      <c r="E16" s="10" t="n">
        <v>36</v>
      </c>
      <c r="F16" s="10" t="n">
        <v>34.5</v>
      </c>
      <c r="G16" s="10" t="n">
        <v>24</v>
      </c>
      <c r="H16" s="10" t="n">
        <v>1</v>
      </c>
      <c r="I16" s="11" t="inlineStr">
        <is>
          <t>Std 1</t>
        </is>
      </c>
      <c r="J16" s="11" t="inlineStr">
        <is>
          <t>Elev.2</t>
        </is>
      </c>
      <c r="K16" s="11" t="inlineStr">
        <is>
          <t>Sink base</t>
        </is>
      </c>
    </row>
    <row r="17">
      <c r="A17" s="13" t="inlineStr">
        <is>
          <t>KITCHEN SUBTOTALS</t>
        </is>
      </c>
      <c r="B17" s="32" t="n"/>
      <c r="C17" s="32" t="n"/>
      <c r="D17" s="32" t="n"/>
      <c r="E17" s="32" t="n"/>
      <c r="F17" s="32" t="n"/>
      <c r="G17" s="32" t="n"/>
      <c r="H17" s="14" t="n">
        <v>10</v>
      </c>
      <c r="I17" s="32" t="n"/>
      <c r="J17" s="32" t="n"/>
      <c r="K17" s="32" t="n"/>
    </row>
    <row r="18"/>
    <row r="19">
      <c r="A19" s="31" t="inlineStr">
        <is>
          <t>SECTION 2 — BATHROOM VANITY CABINETS</t>
        </is>
      </c>
    </row>
    <row r="20"/>
    <row r="21">
      <c r="A21" s="8" t="inlineStr">
        <is>
          <t>Item</t>
        </is>
      </c>
      <c r="B21" s="8" t="inlineStr">
        <is>
          <t>Cabinet Code</t>
        </is>
      </c>
      <c r="C21" s="8" t="inlineStr">
        <is>
          <t>Description</t>
        </is>
      </c>
      <c r="D21" s="8" t="inlineStr">
        <is>
          <t>Type</t>
        </is>
      </c>
      <c r="E21" s="8" t="inlineStr">
        <is>
          <t>W (in)</t>
        </is>
      </c>
      <c r="F21" s="8" t="inlineStr">
        <is>
          <t>H (in)</t>
        </is>
      </c>
      <c r="G21" s="8" t="inlineStr">
        <is>
          <t>D (in)</t>
        </is>
      </c>
      <c r="H21" s="8" t="inlineStr">
        <is>
          <t>Qty</t>
        </is>
      </c>
      <c r="I21" s="8" t="inlineStr">
        <is>
          <t>Finish Tier</t>
        </is>
      </c>
      <c r="J21" s="8" t="inlineStr">
        <is>
          <t>Elevation Ref.</t>
        </is>
      </c>
      <c r="K21" s="8" t="inlineStr">
        <is>
          <t>Location Note</t>
        </is>
      </c>
    </row>
    <row r="22">
      <c r="A22" s="11" t="n">
        <v>1</v>
      </c>
      <c r="B22" s="9" t="inlineStr">
        <is>
          <t>VAN30</t>
        </is>
      </c>
      <c r="C22" s="11" t="inlineStr">
        <is>
          <t>Bath Vanity 30"W x 34.5"H x 21"D</t>
        </is>
      </c>
      <c r="D22" s="11" t="inlineStr">
        <is>
          <t>Vanity</t>
        </is>
      </c>
      <c r="E22" s="10" t="n">
        <v>30</v>
      </c>
      <c r="F22" s="10" t="n">
        <v>34.5</v>
      </c>
      <c r="G22" s="10" t="n">
        <v>21</v>
      </c>
      <c r="H22" s="10" t="n">
        <v>2</v>
      </c>
      <c r="I22" s="11" t="inlineStr">
        <is>
          <t>Std 1</t>
        </is>
      </c>
      <c r="J22" s="11" t="inlineStr">
        <is>
          <t>Floor Plan</t>
        </is>
      </c>
      <c r="K22" s="11" t="inlineStr">
        <is>
          <t>Single sink</t>
        </is>
      </c>
    </row>
    <row r="23">
      <c r="A23" s="11" t="n">
        <v>2</v>
      </c>
      <c r="B23" s="9" t="inlineStr">
        <is>
          <t>LIN18</t>
        </is>
      </c>
      <c r="C23" s="11" t="inlineStr">
        <is>
          <t>Linen Cabinet 18"W x 84"H x 18"D</t>
        </is>
      </c>
      <c r="D23" s="11" t="inlineStr">
        <is>
          <t>Bath</t>
        </is>
      </c>
      <c r="E23" s="10" t="n">
        <v>18</v>
      </c>
      <c r="F23" s="10" t="n">
        <v>84</v>
      </c>
      <c r="G23" s="10" t="n">
        <v>18</v>
      </c>
      <c r="H23" s="10" t="n">
        <v>1</v>
      </c>
      <c r="I23" s="11" t="inlineStr">
        <is>
          <t>Std 1</t>
        </is>
      </c>
      <c r="J23" s="11" t="inlineStr">
        <is>
          <t>Elev.3</t>
        </is>
      </c>
      <c r="K23" s="11" t="inlineStr">
        <is>
          <t>Linen cabinet</t>
        </is>
      </c>
    </row>
    <row r="24">
      <c r="A24" s="13" t="inlineStr">
        <is>
          <t>BATHROOM SUBTOTALS</t>
        </is>
      </c>
      <c r="B24" s="32" t="n"/>
      <c r="C24" s="32" t="n"/>
      <c r="D24" s="32" t="n"/>
      <c r="E24" s="32" t="n"/>
      <c r="F24" s="32" t="n"/>
      <c r="G24" s="32" t="n"/>
      <c r="H24" s="14" t="n">
        <v>3</v>
      </c>
      <c r="I24" s="32" t="n"/>
      <c r="J24" s="32" t="n"/>
      <c r="K24" s="32" t="n"/>
    </row>
    <row r="25"/>
    <row r="26">
      <c r="A26" s="13" t="inlineStr">
        <is>
          <t>UNIT B3 GRAND TOTAL CABINET COUNT</t>
        </is>
      </c>
      <c r="B26" s="32" t="n"/>
      <c r="C26" s="32" t="n"/>
      <c r="D26" s="32" t="n"/>
      <c r="E26" s="32" t="n"/>
      <c r="F26" s="32" t="n"/>
      <c r="G26" s="32" t="n"/>
      <c r="H26" s="14" t="n">
        <v>13</v>
      </c>
      <c r="I26" s="32" t="n"/>
      <c r="J26" s="32" t="n"/>
      <c r="K26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2026-06-17T13:17:18Z</dcterms:created>
  <dcterms:modified xmlns:dcterms="http://purl.org/dc/terms/" xmlns:xsi="http://www.w3.org/2001/XMLSchema-instance" xsi:type="dcterms:W3CDTF">2026-06-17T13:17:18Z</dcterms:modified>
</cp:coreProperties>
</file>