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1" sheetId="5" state="visible" r:id="rId5"/>
    <sheet xmlns:r="http://schemas.openxmlformats.org/officeDocument/2006/relationships" name="SD-A2-ADA" sheetId="6" state="visible" r:id="rId6"/>
    <sheet xmlns:r="http://schemas.openxmlformats.org/officeDocument/2006/relationships" name="SD-A3" sheetId="7" state="visible" r:id="rId7"/>
    <sheet xmlns:r="http://schemas.openxmlformats.org/officeDocument/2006/relationships" name="SD-B1" sheetId="8" state="visible" r:id="rId8"/>
    <sheet xmlns:r="http://schemas.openxmlformats.org/officeDocument/2006/relationships" name="SD-B2-AD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CASA FAMILIA — Atlantic Pacific Communities</t>
        </is>
      </c>
    </row>
    <row r="4">
      <c r="A4" s="3" t="inlineStr">
        <is>
          <t>Project Name:</t>
        </is>
      </c>
      <c r="B4" s="4" t="inlineStr">
        <is>
          <t>CASA FAMILIA</t>
        </is>
      </c>
    </row>
    <row r="5">
      <c r="A5" s="3" t="inlineStr">
        <is>
          <t>Project ID:</t>
        </is>
      </c>
      <c r="B5" s="4" t="inlineStr">
        <is>
          <t>23-033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10951 SW 84th St., Miami-Dade, Florida 33173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25</v>
      </c>
    </row>
    <row r="12">
      <c r="A12" s="3" t="inlineStr">
        <is>
          <t>Total Cabinets:</t>
        </is>
      </c>
      <c r="B12" s="7" t="n">
        <v>225</v>
      </c>
    </row>
    <row r="13">
      <c r="A13" s="3" t="inlineStr">
        <is>
          <t>Selling Price:</t>
        </is>
      </c>
      <c r="B13" s="8" t="n">
        <v>80907.52376068378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A1</t>
        </is>
      </c>
      <c r="B5" s="11" t="n">
        <v>14</v>
      </c>
      <c r="C5" s="11" t="n">
        <v>4</v>
      </c>
      <c r="D5" s="11" t="n">
        <v>2</v>
      </c>
      <c r="E5" s="11" t="n">
        <v>1</v>
      </c>
      <c r="F5" s="11" t="n">
        <v>0</v>
      </c>
      <c r="G5" s="11" t="n">
        <v>0</v>
      </c>
      <c r="H5" s="12">
        <f>SUM(C5:G5)</f>
        <v/>
      </c>
      <c r="I5" s="11" t="n">
        <v>1</v>
      </c>
      <c r="J5" s="11" t="n">
        <v>0</v>
      </c>
      <c r="K5" s="11" t="n">
        <v>1</v>
      </c>
      <c r="L5" s="12">
        <f>SUM(I5:K5)</f>
        <v/>
      </c>
      <c r="M5" s="12">
        <f>H5+L5</f>
        <v/>
      </c>
    </row>
    <row r="6">
      <c r="A6" s="10" t="inlineStr">
        <is>
          <t>A2-ADA</t>
        </is>
      </c>
      <c r="B6" s="11" t="n">
        <v>3</v>
      </c>
      <c r="C6" s="11" t="n">
        <v>4</v>
      </c>
      <c r="D6" s="11" t="n">
        <v>2</v>
      </c>
      <c r="E6" s="11" t="n">
        <v>1</v>
      </c>
      <c r="F6" s="11" t="n">
        <v>0</v>
      </c>
      <c r="G6" s="11" t="n">
        <v>0</v>
      </c>
      <c r="H6" s="12">
        <f>SUM(C6:G6)</f>
        <v/>
      </c>
      <c r="I6" s="11" t="n">
        <v>1</v>
      </c>
      <c r="J6" s="11" t="n">
        <v>0</v>
      </c>
      <c r="K6" s="11" t="n">
        <v>1</v>
      </c>
      <c r="L6" s="12">
        <f>SUM(I6:K6)</f>
        <v/>
      </c>
      <c r="M6" s="12">
        <f>H6+L6</f>
        <v/>
      </c>
    </row>
    <row r="7">
      <c r="A7" s="10" t="inlineStr">
        <is>
          <t>A3</t>
        </is>
      </c>
      <c r="B7" s="11" t="n">
        <v>2</v>
      </c>
      <c r="C7" s="11" t="n">
        <v>4</v>
      </c>
      <c r="D7" s="11" t="n">
        <v>2</v>
      </c>
      <c r="E7" s="11" t="n">
        <v>1</v>
      </c>
      <c r="F7" s="11" t="n">
        <v>0</v>
      </c>
      <c r="G7" s="11" t="n">
        <v>0</v>
      </c>
      <c r="H7" s="12">
        <f>SUM(C7:G7)</f>
        <v/>
      </c>
      <c r="I7" s="11" t="n">
        <v>1</v>
      </c>
      <c r="J7" s="11" t="n">
        <v>0</v>
      </c>
      <c r="K7" s="11" t="n">
        <v>1</v>
      </c>
      <c r="L7" s="12">
        <f>SUM(I7:K7)</f>
        <v/>
      </c>
      <c r="M7" s="12">
        <f>H7+L7</f>
        <v/>
      </c>
    </row>
    <row r="8">
      <c r="A8" s="10" t="inlineStr">
        <is>
          <t>B1</t>
        </is>
      </c>
      <c r="B8" s="11" t="n">
        <v>3</v>
      </c>
      <c r="C8" s="11" t="n">
        <v>4</v>
      </c>
      <c r="D8" s="11" t="n">
        <v>2</v>
      </c>
      <c r="E8" s="11" t="n">
        <v>1</v>
      </c>
      <c r="F8" s="11" t="n">
        <v>0</v>
      </c>
      <c r="G8" s="11" t="n">
        <v>0</v>
      </c>
      <c r="H8" s="12">
        <f>SUM(C8:G8)</f>
        <v/>
      </c>
      <c r="I8" s="11" t="n">
        <v>1</v>
      </c>
      <c r="J8" s="11" t="n">
        <v>0</v>
      </c>
      <c r="K8" s="11" t="n">
        <v>1</v>
      </c>
      <c r="L8" s="12">
        <f>SUM(I8:K8)</f>
        <v/>
      </c>
      <c r="M8" s="12">
        <f>H8+L8</f>
        <v/>
      </c>
    </row>
    <row r="9">
      <c r="A9" s="10" t="inlineStr">
        <is>
          <t>B2-ADA</t>
        </is>
      </c>
      <c r="B9" s="11" t="n">
        <v>3</v>
      </c>
      <c r="C9" s="11" t="n">
        <v>4</v>
      </c>
      <c r="D9" s="11" t="n">
        <v>2</v>
      </c>
      <c r="E9" s="11" t="n">
        <v>1</v>
      </c>
      <c r="F9" s="11" t="n">
        <v>0</v>
      </c>
      <c r="G9" s="11" t="n">
        <v>0</v>
      </c>
      <c r="H9" s="12">
        <f>SUM(C9:G9)</f>
        <v/>
      </c>
      <c r="I9" s="11" t="n">
        <v>1</v>
      </c>
      <c r="J9" s="11" t="n">
        <v>0</v>
      </c>
      <c r="K9" s="11" t="n">
        <v>1</v>
      </c>
      <c r="L9" s="12">
        <f>SUM(I9:K9)</f>
        <v/>
      </c>
      <c r="M9" s="12">
        <f>H9+L9</f>
        <v/>
      </c>
    </row>
    <row r="10">
      <c r="A10" s="13" t="inlineStr">
        <is>
          <t>PROJECT TOTALS</t>
        </is>
      </c>
      <c r="B10" s="14">
        <f>SUM(B5:B9)</f>
        <v/>
      </c>
      <c r="C10" s="14">
        <f>SUM(C5:C9)</f>
        <v/>
      </c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  <c r="J10" s="14">
        <f>SUM(J5:J9)</f>
        <v/>
      </c>
      <c r="K10" s="14">
        <f>SUM(K5:K9)</f>
        <v/>
      </c>
      <c r="L10" s="14">
        <f>SUM(L5:L9)</f>
        <v/>
      </c>
      <c r="M10" s="14">
        <f>SUM(M5:M9)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CASA FAMILIA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225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2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15799.55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15799.55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1184.96625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2 containers</t>
        </is>
      </c>
      <c r="E15" s="24" t="n">
        <v>9000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225 cabs</t>
        </is>
      </c>
      <c r="E17" s="24" t="n">
        <v>19125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315.991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78.99775000000001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126.3964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47330.9014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4045.376188034189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1213.612856410257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28317.63331623932</v>
      </c>
    </row>
    <row r="30">
      <c r="A30" s="28" t="inlineStr">
        <is>
          <t>E. SELLING PRICE (TOTAL PROJECT)</t>
        </is>
      </c>
      <c r="E30" s="29" t="n">
        <v>80907.52376068378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28317.63331623932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52589.89044444446</v>
      </c>
    </row>
    <row r="36">
      <c r="B36" s="3" t="inlineStr">
        <is>
          <t>Cost per Cabinet:</t>
        </is>
      </c>
      <c r="E36" s="30" t="n">
        <v>233.7328464197531</v>
      </c>
    </row>
    <row r="37">
      <c r="B37" s="3" t="inlineStr">
        <is>
          <t>Sell per Cabinet:</t>
        </is>
      </c>
      <c r="E37" s="30" t="n">
        <v>359.5889944919279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13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13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13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28.3"H</t>
        </is>
      </c>
      <c r="D14" s="16" t="inlineStr">
        <is>
          <t>Base</t>
        </is>
      </c>
      <c r="E14" s="17" t="n">
        <v>35.4</v>
      </c>
      <c r="F14" s="17" t="n">
        <v>28.3</v>
      </c>
      <c r="G14" s="17" t="n">
        <v>23.6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28.3"H</t>
        </is>
      </c>
      <c r="D15" s="16" t="inlineStr">
        <is>
          <t>Base</t>
        </is>
      </c>
      <c r="E15" s="17" t="n">
        <v>30</v>
      </c>
      <c r="F15" s="17" t="n">
        <v>28.3</v>
      </c>
      <c r="G15" s="17" t="n">
        <v>23.6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23.6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13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34.3"H</t>
        </is>
      </c>
      <c r="D23" s="16" t="inlineStr">
        <is>
          <t>Vanity</t>
        </is>
      </c>
      <c r="E23" s="17" t="n">
        <v>74</v>
      </c>
      <c r="F23" s="17" t="n">
        <v>34.3</v>
      </c>
      <c r="G23" s="17" t="n">
        <v>20.9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23.6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A1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2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W35-30-ADA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13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MW30-15-ADA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13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13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B35-ADA</t>
        </is>
      </c>
      <c r="C14" s="16" t="inlineStr">
        <is>
          <t>base 35.4"W × 34.0"H</t>
        </is>
      </c>
      <c r="D14" s="16" t="inlineStr">
        <is>
          <t>Base</t>
        </is>
      </c>
      <c r="E14" s="17" t="n">
        <v>35.4</v>
      </c>
      <c r="F14" s="17" t="n">
        <v>34</v>
      </c>
      <c r="G14" s="17" t="n">
        <v>23.6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B30-ADA</t>
        </is>
      </c>
      <c r="C15" s="16" t="inlineStr">
        <is>
          <t>base 30.0"W × 34.0"H</t>
        </is>
      </c>
      <c r="D15" s="16" t="inlineStr">
        <is>
          <t>Base</t>
        </is>
      </c>
      <c r="E15" s="17" t="n">
        <v>30</v>
      </c>
      <c r="F15" s="17" t="n">
        <v>34</v>
      </c>
      <c r="G15" s="17" t="n">
        <v>23.6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T12-84-ADA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23.6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W35-30-ADA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13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VAN74-ADA</t>
        </is>
      </c>
      <c r="C23" s="16" t="inlineStr">
        <is>
          <t>vanity 74.0"W × 34.0"H</t>
        </is>
      </c>
      <c r="D23" s="16" t="inlineStr">
        <is>
          <t>Vanity</t>
        </is>
      </c>
      <c r="E23" s="17" t="n">
        <v>74</v>
      </c>
      <c r="F23" s="17" t="n">
        <v>34</v>
      </c>
      <c r="G23" s="17" t="n">
        <v>20.9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LIN24-ADA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23.6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A2-ADA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13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13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13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28.3"H</t>
        </is>
      </c>
      <c r="D14" s="16" t="inlineStr">
        <is>
          <t>Base</t>
        </is>
      </c>
      <c r="E14" s="17" t="n">
        <v>35.4</v>
      </c>
      <c r="F14" s="17" t="n">
        <v>28.3</v>
      </c>
      <c r="G14" s="17" t="n">
        <v>23.6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28.3"H</t>
        </is>
      </c>
      <c r="D15" s="16" t="inlineStr">
        <is>
          <t>Base</t>
        </is>
      </c>
      <c r="E15" s="17" t="n">
        <v>30</v>
      </c>
      <c r="F15" s="17" t="n">
        <v>28.3</v>
      </c>
      <c r="G15" s="17" t="n">
        <v>23.6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23.6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13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34.3"H</t>
        </is>
      </c>
      <c r="D23" s="16" t="inlineStr">
        <is>
          <t>Vanity</t>
        </is>
      </c>
      <c r="E23" s="17" t="n">
        <v>74</v>
      </c>
      <c r="F23" s="17" t="n">
        <v>34.3</v>
      </c>
      <c r="G23" s="17" t="n">
        <v>20.9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23.6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A3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13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13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13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28.3"H</t>
        </is>
      </c>
      <c r="D14" s="16" t="inlineStr">
        <is>
          <t>Base</t>
        </is>
      </c>
      <c r="E14" s="17" t="n">
        <v>35.4</v>
      </c>
      <c r="F14" s="17" t="n">
        <v>28.3</v>
      </c>
      <c r="G14" s="17" t="n">
        <v>23.6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28.3"H</t>
        </is>
      </c>
      <c r="D15" s="16" t="inlineStr">
        <is>
          <t>Base</t>
        </is>
      </c>
      <c r="E15" s="17" t="n">
        <v>30</v>
      </c>
      <c r="F15" s="17" t="n">
        <v>28.3</v>
      </c>
      <c r="G15" s="17" t="n">
        <v>23.6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23.6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13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34.3"H</t>
        </is>
      </c>
      <c r="D23" s="16" t="inlineStr">
        <is>
          <t>Vanity</t>
        </is>
      </c>
      <c r="E23" s="17" t="n">
        <v>74</v>
      </c>
      <c r="F23" s="17" t="n">
        <v>34.3</v>
      </c>
      <c r="G23" s="17" t="n">
        <v>20.9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23.6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B1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2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W35-30-ADA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13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MW30-15-ADA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13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13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B35-ADA</t>
        </is>
      </c>
      <c r="C14" s="16" t="inlineStr">
        <is>
          <t>base 35.4"W × 34.0"H</t>
        </is>
      </c>
      <c r="D14" s="16" t="inlineStr">
        <is>
          <t>Base</t>
        </is>
      </c>
      <c r="E14" s="17" t="n">
        <v>35.4</v>
      </c>
      <c r="F14" s="17" t="n">
        <v>34</v>
      </c>
      <c r="G14" s="17" t="n">
        <v>23.6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B30-ADA</t>
        </is>
      </c>
      <c r="C15" s="16" t="inlineStr">
        <is>
          <t>base 30.0"W × 34.0"H</t>
        </is>
      </c>
      <c r="D15" s="16" t="inlineStr">
        <is>
          <t>Base</t>
        </is>
      </c>
      <c r="E15" s="17" t="n">
        <v>30</v>
      </c>
      <c r="F15" s="17" t="n">
        <v>34</v>
      </c>
      <c r="G15" s="17" t="n">
        <v>23.6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T12-84-ADA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23.6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W35-30-ADA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13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VAN74-ADA</t>
        </is>
      </c>
      <c r="C23" s="16" t="inlineStr">
        <is>
          <t>vanity 74.0"W × 34.0"H</t>
        </is>
      </c>
      <c r="D23" s="16" t="inlineStr">
        <is>
          <t>Vanity</t>
        </is>
      </c>
      <c r="E23" s="17" t="n">
        <v>74</v>
      </c>
      <c r="F23" s="17" t="n">
        <v>34</v>
      </c>
      <c r="G23" s="17" t="n">
        <v>20.9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LIN24-ADA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23.6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B2-ADA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2026-06-23T05:23:01Z</dcterms:created>
  <dcterms:modified xmlns:dcterms="http://purl.org/dc/terms/" xmlns:xsi="http://www.w3.org/2001/XMLSchema-instance" xsi:type="dcterms:W3CDTF">2026-06-23T05:23:01Z</dcterms:modified>
</cp:coreProperties>
</file>