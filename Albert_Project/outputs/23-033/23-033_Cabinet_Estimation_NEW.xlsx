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D-A1" sheetId="5" state="visible" r:id="rId5"/>
    <sheet xmlns:r="http://schemas.openxmlformats.org/officeDocument/2006/relationships" name="SD-A2-ADA" sheetId="6" state="visible" r:id="rId6"/>
    <sheet xmlns:r="http://schemas.openxmlformats.org/officeDocument/2006/relationships" name="SD-A3" sheetId="7" state="visible" r:id="rId7"/>
    <sheet xmlns:r="http://schemas.openxmlformats.org/officeDocument/2006/relationships" name="SD-B1" sheetId="8" state="visible" r:id="rId8"/>
    <sheet xmlns:r="http://schemas.openxmlformats.org/officeDocument/2006/relationships" name="SD-B2-A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1B365D"/>
      <sz val="10"/>
    </font>
    <font>
      <name val="Arial"/>
      <b val="1"/>
      <color rgb="00FFFFFF"/>
      <sz val="10"/>
    </font>
    <font>
      <name val="Arial"/>
      <b val="1"/>
      <color rgb="001B365D"/>
      <sz val="14"/>
    </font>
    <font>
      <name val="Arial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0" borderId="0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0" fontId="0" fillId="5" borderId="2" pivotButton="0" quotePrefix="0" xfId="0"/>
    <xf numFmtId="165" fontId="3" fillId="6" borderId="2" pivotButton="0" quotePrefix="0" xfId="0"/>
    <xf numFmtId="165" fontId="3" fillId="0" borderId="1" pivotButton="0" quotePrefix="0" xfId="0"/>
    <xf numFmtId="0" fontId="7" fillId="0" borderId="0" pivotButton="0" quotePrefix="0" xfId="0"/>
    <xf numFmtId="165" fontId="7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8" fillId="0" borderId="0" pivotButton="0" quotePrefix="0" xfId="0"/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CABINET ESTIMATION — PROJECT INFORMATION</t>
        </is>
      </c>
    </row>
    <row r="2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>
        <is>
          <t>CASA FAMILIA</t>
        </is>
      </c>
    </row>
    <row r="5">
      <c r="A5" s="3" t="inlineStr">
        <is>
          <t>Project ID:</t>
        </is>
      </c>
      <c r="B5" s="4" t="inlineStr">
        <is>
          <t>23-033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Address:</t>
        </is>
      </c>
      <c r="B8" s="5" t="inlineStr">
        <is>
          <t>10951 SW 84th St., Miami-Dade, Florida 33173</t>
        </is>
      </c>
    </row>
    <row r="9">
      <c r="A9" s="3" t="inlineStr">
        <is>
          <t>Price List:</t>
        </is>
      </c>
      <c r="B9" s="4" t="inlineStr">
        <is>
          <t>MS PRICE LIST LEVEL 1 -90CM.xlsx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 t="n">
        <v>25</v>
      </c>
    </row>
    <row r="12">
      <c r="A12" s="3" t="inlineStr">
        <is>
          <t>Total Cabinets:</t>
        </is>
      </c>
      <c r="B12" s="7" t="n">
        <v>225</v>
      </c>
    </row>
    <row r="13">
      <c r="A13" s="3" t="inlineStr">
        <is>
          <t>Selling Price:</t>
        </is>
      </c>
      <c r="B13" s="8" t="n">
        <v>80907.52376068378</v>
      </c>
    </row>
    <row r="14">
      <c r="A14" s="3" t="inlineStr">
        <is>
          <t>Finish Tier:</t>
        </is>
      </c>
      <c r="B14" s="5" t="inlineStr">
        <is>
          <t>Standard 1</t>
        </is>
      </c>
    </row>
    <row r="15">
      <c r="A15" s="3" t="inlineStr">
        <is>
          <t>Door Style:</t>
        </is>
      </c>
      <c r="B15" s="5" t="inlineStr">
        <is>
          <t>Shaker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" t="inlineStr">
        <is>
          <t>CABINET MATRIX — UNIT TYPE BREAKDOWN</t>
        </is>
      </c>
    </row>
    <row r="2"/>
    <row r="3"/>
    <row r="4">
      <c r="A4" s="9" t="inlineStr">
        <is>
          <t>Unit Type</t>
        </is>
      </c>
      <c r="B4" s="9" t="inlineStr">
        <is>
          <t>Qty</t>
        </is>
      </c>
      <c r="C4" s="9" t="inlineStr">
        <is>
          <t>Upper Wall</t>
        </is>
      </c>
      <c r="D4" s="9" t="inlineStr">
        <is>
          <t>Base</t>
        </is>
      </c>
      <c r="E4" s="9" t="inlineStr">
        <is>
          <t>Pantry/Tall</t>
        </is>
      </c>
      <c r="F4" s="9" t="inlineStr">
        <is>
          <t>Sink Base</t>
        </is>
      </c>
      <c r="G4" s="9" t="inlineStr">
        <is>
          <t>Corner</t>
        </is>
      </c>
      <c r="H4" s="9" t="inlineStr">
        <is>
          <t>Total Kitchen</t>
        </is>
      </c>
      <c r="I4" s="9" t="inlineStr">
        <is>
          <t>Vanity</t>
        </is>
      </c>
      <c r="J4" s="9" t="inlineStr">
        <is>
          <t>Medicine</t>
        </is>
      </c>
      <c r="K4" s="9" t="inlineStr">
        <is>
          <t>Linen</t>
        </is>
      </c>
      <c r="L4" s="9" t="inlineStr">
        <is>
          <t>Total Bath</t>
        </is>
      </c>
      <c r="M4" s="9" t="inlineStr">
        <is>
          <t>UNIT TOTAL</t>
        </is>
      </c>
    </row>
    <row r="5">
      <c r="A5" s="10" t="inlineStr">
        <is>
          <t>A1</t>
        </is>
      </c>
      <c r="B5" s="11" t="n">
        <v>14</v>
      </c>
      <c r="C5" s="11" t="n">
        <v>4</v>
      </c>
      <c r="D5" s="11" t="n">
        <v>2</v>
      </c>
      <c r="E5" s="11" t="n">
        <v>1</v>
      </c>
      <c r="F5" s="11" t="n">
        <v>0</v>
      </c>
      <c r="G5" s="11" t="n">
        <v>0</v>
      </c>
      <c r="H5" s="12">
        <f>SUM(C5:G5)</f>
        <v/>
      </c>
      <c r="I5" s="11" t="n">
        <v>1</v>
      </c>
      <c r="J5" s="11" t="n">
        <v>0</v>
      </c>
      <c r="K5" s="11" t="n">
        <v>1</v>
      </c>
      <c r="L5" s="12">
        <f>SUM(I5:K5)</f>
        <v/>
      </c>
      <c r="M5" s="12">
        <f>H5+L5</f>
        <v/>
      </c>
    </row>
    <row r="6">
      <c r="A6" s="10" t="inlineStr">
        <is>
          <t>A2-ADA</t>
        </is>
      </c>
      <c r="B6" s="11" t="n">
        <v>3</v>
      </c>
      <c r="C6" s="11" t="n">
        <v>4</v>
      </c>
      <c r="D6" s="11" t="n">
        <v>2</v>
      </c>
      <c r="E6" s="11" t="n">
        <v>1</v>
      </c>
      <c r="F6" s="11" t="n">
        <v>0</v>
      </c>
      <c r="G6" s="11" t="n">
        <v>0</v>
      </c>
      <c r="H6" s="12">
        <f>SUM(C6:G6)</f>
        <v/>
      </c>
      <c r="I6" s="11" t="n">
        <v>1</v>
      </c>
      <c r="J6" s="11" t="n">
        <v>0</v>
      </c>
      <c r="K6" s="11" t="n">
        <v>1</v>
      </c>
      <c r="L6" s="12">
        <f>SUM(I6:K6)</f>
        <v/>
      </c>
      <c r="M6" s="12">
        <f>H6+L6</f>
        <v/>
      </c>
    </row>
    <row r="7">
      <c r="A7" s="10" t="inlineStr">
        <is>
          <t>A3</t>
        </is>
      </c>
      <c r="B7" s="11" t="n">
        <v>2</v>
      </c>
      <c r="C7" s="11" t="n">
        <v>4</v>
      </c>
      <c r="D7" s="11" t="n">
        <v>2</v>
      </c>
      <c r="E7" s="11" t="n">
        <v>1</v>
      </c>
      <c r="F7" s="11" t="n">
        <v>0</v>
      </c>
      <c r="G7" s="11" t="n">
        <v>0</v>
      </c>
      <c r="H7" s="12">
        <f>SUM(C7:G7)</f>
        <v/>
      </c>
      <c r="I7" s="11" t="n">
        <v>1</v>
      </c>
      <c r="J7" s="11" t="n">
        <v>0</v>
      </c>
      <c r="K7" s="11" t="n">
        <v>1</v>
      </c>
      <c r="L7" s="12">
        <f>SUM(I7:K7)</f>
        <v/>
      </c>
      <c r="M7" s="12">
        <f>H7+L7</f>
        <v/>
      </c>
    </row>
    <row r="8">
      <c r="A8" s="10" t="inlineStr">
        <is>
          <t>B1</t>
        </is>
      </c>
      <c r="B8" s="11" t="n">
        <v>3</v>
      </c>
      <c r="C8" s="11" t="n">
        <v>4</v>
      </c>
      <c r="D8" s="11" t="n">
        <v>2</v>
      </c>
      <c r="E8" s="11" t="n">
        <v>1</v>
      </c>
      <c r="F8" s="11" t="n">
        <v>0</v>
      </c>
      <c r="G8" s="11" t="n">
        <v>0</v>
      </c>
      <c r="H8" s="12">
        <f>SUM(C8:G8)</f>
        <v/>
      </c>
      <c r="I8" s="11" t="n">
        <v>1</v>
      </c>
      <c r="J8" s="11" t="n">
        <v>0</v>
      </c>
      <c r="K8" s="11" t="n">
        <v>1</v>
      </c>
      <c r="L8" s="12">
        <f>SUM(I8:K8)</f>
        <v/>
      </c>
      <c r="M8" s="12">
        <f>H8+L8</f>
        <v/>
      </c>
    </row>
    <row r="9">
      <c r="A9" s="10" t="inlineStr">
        <is>
          <t>B2-ADA</t>
        </is>
      </c>
      <c r="B9" s="11" t="n">
        <v>3</v>
      </c>
      <c r="C9" s="11" t="n">
        <v>4</v>
      </c>
      <c r="D9" s="11" t="n">
        <v>2</v>
      </c>
      <c r="E9" s="11" t="n">
        <v>1</v>
      </c>
      <c r="F9" s="11" t="n">
        <v>0</v>
      </c>
      <c r="G9" s="11" t="n">
        <v>0</v>
      </c>
      <c r="H9" s="12">
        <f>SUM(C9:G9)</f>
        <v/>
      </c>
      <c r="I9" s="11" t="n">
        <v>1</v>
      </c>
      <c r="J9" s="11" t="n">
        <v>0</v>
      </c>
      <c r="K9" s="11" t="n">
        <v>1</v>
      </c>
      <c r="L9" s="12">
        <f>SUM(I9:K9)</f>
        <v/>
      </c>
      <c r="M9" s="12">
        <f>H9+L9</f>
        <v/>
      </c>
    </row>
    <row r="10">
      <c r="A10" s="13" t="inlineStr">
        <is>
          <t>PROJECT TOTALS</t>
        </is>
      </c>
      <c r="B10" s="14">
        <f>SUM(B5:B9)</f>
        <v/>
      </c>
      <c r="C10" s="14">
        <f>SUM(C5:C9)</f>
        <v/>
      </c>
      <c r="D10" s="14">
        <f>SUM(D5:D9)</f>
        <v/>
      </c>
      <c r="E10" s="14">
        <f>SUM(E5:E9)</f>
        <v/>
      </c>
      <c r="F10" s="14">
        <f>SUM(F5:F9)</f>
        <v/>
      </c>
      <c r="G10" s="14">
        <f>SUM(G5:G9)</f>
        <v/>
      </c>
      <c r="H10" s="14">
        <f>SUM(H5:H9)</f>
        <v/>
      </c>
      <c r="I10" s="14">
        <f>SUM(I5:I9)</f>
        <v/>
      </c>
      <c r="J10" s="14">
        <f>SUM(J5:J9)</f>
        <v/>
      </c>
      <c r="K10" s="14">
        <f>SUM(K5:K9)</f>
        <v/>
      </c>
      <c r="L10" s="14">
        <f>SUM(L5:L9)</f>
        <v/>
      </c>
      <c r="M10" s="14">
        <f>SUM(M5:M9)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</cols>
  <sheetData>
    <row r="1">
      <c r="A1" s="1" t="inlineStr">
        <is>
          <t>CABINET LIBRARY — STANDARD SPECIFICATIONS</t>
        </is>
      </c>
    </row>
    <row r="2"/>
    <row r="3">
      <c r="A3" s="15" t="inlineStr">
        <is>
          <t>Cabinet Code</t>
        </is>
      </c>
      <c r="B3" s="15" t="inlineStr">
        <is>
          <t>Description</t>
        </is>
      </c>
      <c r="C3" s="15" t="inlineStr">
        <is>
          <t>Type</t>
        </is>
      </c>
      <c r="D3" s="15" t="inlineStr">
        <is>
          <t>W (in)</t>
        </is>
      </c>
      <c r="E3" s="15" t="inlineStr">
        <is>
          <t>H (in)</t>
        </is>
      </c>
      <c r="F3" s="15" t="inlineStr">
        <is>
          <t>D (in)</t>
        </is>
      </c>
      <c r="G3" s="15" t="inlineStr">
        <is>
          <t>Finish Tier</t>
        </is>
      </c>
      <c r="H3" s="15" t="inlineStr">
        <is>
          <t>Door Style</t>
        </is>
      </c>
      <c r="I3" s="15" t="inlineStr">
        <is>
          <t>Notes</t>
        </is>
      </c>
    </row>
    <row r="4">
      <c r="A4" s="16" t="inlineStr">
        <is>
          <t>W12</t>
        </is>
      </c>
      <c r="B4" s="16" t="inlineStr">
        <is>
          <t>Wall Cabinet 12W x 12H</t>
        </is>
      </c>
      <c r="C4" s="16" t="inlineStr">
        <is>
          <t>Upper</t>
        </is>
      </c>
      <c r="D4" s="17" t="n">
        <v>12</v>
      </c>
      <c r="E4" s="17" t="n">
        <v>12</v>
      </c>
      <c r="F4" s="17" t="n">
        <v>13</v>
      </c>
      <c r="G4" s="16" t="inlineStr">
        <is>
          <t>Standard 1</t>
        </is>
      </c>
      <c r="H4" s="16" t="inlineStr">
        <is>
          <t>Shaker</t>
        </is>
      </c>
      <c r="I4" s="16" t="inlineStr">
        <is>
          <t>Over fridge</t>
        </is>
      </c>
    </row>
    <row r="5">
      <c r="A5" s="16" t="inlineStr">
        <is>
          <t>W18</t>
        </is>
      </c>
      <c r="B5" s="16" t="inlineStr">
        <is>
          <t>Wall Cabinet 18W x 18H</t>
        </is>
      </c>
      <c r="C5" s="16" t="inlineStr">
        <is>
          <t>Upper</t>
        </is>
      </c>
      <c r="D5" s="17" t="n">
        <v>18</v>
      </c>
      <c r="E5" s="17" t="n">
        <v>18</v>
      </c>
      <c r="F5" s="17" t="n">
        <v>13</v>
      </c>
      <c r="G5" s="16" t="inlineStr">
        <is>
          <t>Standard 1</t>
        </is>
      </c>
      <c r="H5" s="16" t="inlineStr">
        <is>
          <t>Shaker</t>
        </is>
      </c>
      <c r="I5" s="16" t="inlineStr">
        <is>
          <t>Over micro</t>
        </is>
      </c>
    </row>
    <row r="6">
      <c r="A6" s="16" t="inlineStr">
        <is>
          <t>W24</t>
        </is>
      </c>
      <c r="B6" s="16" t="inlineStr">
        <is>
          <t>Wall Cabinet 24W x 30H</t>
        </is>
      </c>
      <c r="C6" s="16" t="inlineStr">
        <is>
          <t>Upper</t>
        </is>
      </c>
      <c r="D6" s="17" t="n">
        <v>24</v>
      </c>
      <c r="E6" s="17" t="n">
        <v>30</v>
      </c>
      <c r="F6" s="17" t="n">
        <v>13</v>
      </c>
      <c r="G6" s="16" t="inlineStr">
        <is>
          <t>Standard 1</t>
        </is>
      </c>
      <c r="H6" s="16" t="inlineStr">
        <is>
          <t>Shaker</t>
        </is>
      </c>
      <c r="I6" s="16" t="inlineStr">
        <is>
          <t>Standard upper</t>
        </is>
      </c>
    </row>
    <row r="7">
      <c r="A7" s="16" t="inlineStr">
        <is>
          <t>W30</t>
        </is>
      </c>
      <c r="B7" s="16" t="inlineStr">
        <is>
          <t>Wall Cabinet 30W x 30H</t>
        </is>
      </c>
      <c r="C7" s="16" t="inlineStr">
        <is>
          <t>Upper</t>
        </is>
      </c>
      <c r="D7" s="17" t="n">
        <v>30</v>
      </c>
      <c r="E7" s="17" t="n">
        <v>30</v>
      </c>
      <c r="F7" s="17" t="n">
        <v>13</v>
      </c>
      <c r="G7" s="16" t="inlineStr">
        <is>
          <t>Standard 1</t>
        </is>
      </c>
      <c r="H7" s="16" t="inlineStr">
        <is>
          <t>Shaker</t>
        </is>
      </c>
      <c r="I7" s="16" t="inlineStr">
        <is>
          <t>Standard upper</t>
        </is>
      </c>
    </row>
    <row r="8">
      <c r="A8" s="16" t="inlineStr">
        <is>
          <t>W36</t>
        </is>
      </c>
      <c r="B8" s="16" t="inlineStr">
        <is>
          <t>Wall Cabinet 36W x 30H</t>
        </is>
      </c>
      <c r="C8" s="16" t="inlineStr">
        <is>
          <t>Upper</t>
        </is>
      </c>
      <c r="D8" s="17" t="n">
        <v>36</v>
      </c>
      <c r="E8" s="17" t="n">
        <v>30</v>
      </c>
      <c r="F8" s="17" t="n">
        <v>13</v>
      </c>
      <c r="G8" s="16" t="inlineStr">
        <is>
          <t>Standard 1</t>
        </is>
      </c>
      <c r="H8" s="16" t="inlineStr">
        <is>
          <t>Shaker</t>
        </is>
      </c>
      <c r="I8" s="16" t="inlineStr">
        <is>
          <t>Standard upper</t>
        </is>
      </c>
    </row>
    <row r="9">
      <c r="A9" s="16" t="inlineStr">
        <is>
          <t>WC24</t>
        </is>
      </c>
      <c r="B9" s="16" t="inlineStr">
        <is>
          <t>Corner Wall Cabinet 24W</t>
        </is>
      </c>
      <c r="C9" s="16" t="inlineStr">
        <is>
          <t>Upper</t>
        </is>
      </c>
      <c r="D9" s="17" t="n">
        <v>24</v>
      </c>
      <c r="E9" s="17" t="n">
        <v>30</v>
      </c>
      <c r="F9" s="17" t="n">
        <v>13</v>
      </c>
      <c r="G9" s="16" t="inlineStr">
        <is>
          <t>Standard 1</t>
        </is>
      </c>
      <c r="H9" s="16" t="inlineStr">
        <is>
          <t>Shaker</t>
        </is>
      </c>
      <c r="I9" s="16" t="inlineStr">
        <is>
          <t>Blind corner</t>
        </is>
      </c>
    </row>
    <row r="10">
      <c r="A10" s="16" t="inlineStr">
        <is>
          <t>B12</t>
        </is>
      </c>
      <c r="B10" s="16" t="inlineStr">
        <is>
          <t>Base Cabinet 12W</t>
        </is>
      </c>
      <c r="C10" s="16" t="inlineStr">
        <is>
          <t>Lower</t>
        </is>
      </c>
      <c r="D10" s="17" t="n">
        <v>12</v>
      </c>
      <c r="E10" s="17" t="n">
        <v>34.5</v>
      </c>
      <c r="F10" s="17" t="n">
        <v>24</v>
      </c>
      <c r="G10" s="16" t="inlineStr">
        <is>
          <t>Standard 1</t>
        </is>
      </c>
      <c r="H10" s="16" t="inlineStr">
        <is>
          <t>Shaker</t>
        </is>
      </c>
      <c r="I10" s="16" t="inlineStr"/>
    </row>
    <row r="11">
      <c r="A11" s="16" t="inlineStr">
        <is>
          <t>B18</t>
        </is>
      </c>
      <c r="B11" s="16" t="inlineStr">
        <is>
          <t>Base Cabinet 18W</t>
        </is>
      </c>
      <c r="C11" s="16" t="inlineStr">
        <is>
          <t>Lower</t>
        </is>
      </c>
      <c r="D11" s="17" t="n">
        <v>18</v>
      </c>
      <c r="E11" s="17" t="n">
        <v>34.5</v>
      </c>
      <c r="F11" s="17" t="n">
        <v>24</v>
      </c>
      <c r="G11" s="16" t="inlineStr">
        <is>
          <t>Standard 1</t>
        </is>
      </c>
      <c r="H11" s="16" t="inlineStr">
        <is>
          <t>Shaker</t>
        </is>
      </c>
      <c r="I11" s="16" t="inlineStr"/>
    </row>
    <row r="12">
      <c r="A12" s="16" t="inlineStr">
        <is>
          <t>B24</t>
        </is>
      </c>
      <c r="B12" s="16" t="inlineStr">
        <is>
          <t>Base Cabinet 24W</t>
        </is>
      </c>
      <c r="C12" s="16" t="inlineStr">
        <is>
          <t>Lower</t>
        </is>
      </c>
      <c r="D12" s="17" t="n">
        <v>24</v>
      </c>
      <c r="E12" s="17" t="n">
        <v>34.5</v>
      </c>
      <c r="F12" s="17" t="n">
        <v>24</v>
      </c>
      <c r="G12" s="16" t="inlineStr">
        <is>
          <t>Standard 1</t>
        </is>
      </c>
      <c r="H12" s="16" t="inlineStr">
        <is>
          <t>Shaker</t>
        </is>
      </c>
      <c r="I12" s="16" t="inlineStr"/>
    </row>
    <row r="13">
      <c r="A13" s="16" t="inlineStr">
        <is>
          <t>B30</t>
        </is>
      </c>
      <c r="B13" s="16" t="inlineStr">
        <is>
          <t>Base Cabinet 30W</t>
        </is>
      </c>
      <c r="C13" s="16" t="inlineStr">
        <is>
          <t>Lower</t>
        </is>
      </c>
      <c r="D13" s="17" t="n">
        <v>30</v>
      </c>
      <c r="E13" s="17" t="n">
        <v>34.5</v>
      </c>
      <c r="F13" s="17" t="n">
        <v>24</v>
      </c>
      <c r="G13" s="16" t="inlineStr">
        <is>
          <t>Standard 1</t>
        </is>
      </c>
      <c r="H13" s="16" t="inlineStr">
        <is>
          <t>Shaker</t>
        </is>
      </c>
      <c r="I13" s="16" t="inlineStr"/>
    </row>
    <row r="14">
      <c r="A14" s="16" t="inlineStr">
        <is>
          <t>B36</t>
        </is>
      </c>
      <c r="B14" s="16" t="inlineStr">
        <is>
          <t>Base Cabinet 36W</t>
        </is>
      </c>
      <c r="C14" s="16" t="inlineStr">
        <is>
          <t>Lower</t>
        </is>
      </c>
      <c r="D14" s="17" t="n">
        <v>36</v>
      </c>
      <c r="E14" s="17" t="n">
        <v>34.5</v>
      </c>
      <c r="F14" s="17" t="n">
        <v>24</v>
      </c>
      <c r="G14" s="16" t="inlineStr">
        <is>
          <t>Standard 1</t>
        </is>
      </c>
      <c r="H14" s="16" t="inlineStr">
        <is>
          <t>Shaker</t>
        </is>
      </c>
      <c r="I14" s="16" t="inlineStr"/>
    </row>
    <row r="15">
      <c r="A15" s="16" t="inlineStr">
        <is>
          <t>SB36</t>
        </is>
      </c>
      <c r="B15" s="16" t="inlineStr">
        <is>
          <t>Sink Base Cabinet 36W</t>
        </is>
      </c>
      <c r="C15" s="16" t="inlineStr">
        <is>
          <t>Lower</t>
        </is>
      </c>
      <c r="D15" s="17" t="n">
        <v>36</v>
      </c>
      <c r="E15" s="17" t="n">
        <v>34.5</v>
      </c>
      <c r="F15" s="17" t="n">
        <v>24</v>
      </c>
      <c r="G15" s="16" t="inlineStr">
        <is>
          <t>Standard 1</t>
        </is>
      </c>
      <c r="H15" s="16" t="inlineStr">
        <is>
          <t>Shaker</t>
        </is>
      </c>
      <c r="I15" s="16" t="inlineStr">
        <is>
          <t>Sink base</t>
        </is>
      </c>
    </row>
    <row r="16">
      <c r="A16" s="16" t="inlineStr">
        <is>
          <t>BC36</t>
        </is>
      </c>
      <c r="B16" s="16" t="inlineStr">
        <is>
          <t>Corner Base Cabinet 36W</t>
        </is>
      </c>
      <c r="C16" s="16" t="inlineStr">
        <is>
          <t>Lower</t>
        </is>
      </c>
      <c r="D16" s="17" t="n">
        <v>36</v>
      </c>
      <c r="E16" s="17" t="n">
        <v>34.5</v>
      </c>
      <c r="F16" s="17" t="n">
        <v>24</v>
      </c>
      <c r="G16" s="16" t="inlineStr">
        <is>
          <t>Standard 1</t>
        </is>
      </c>
      <c r="H16" s="16" t="inlineStr">
        <is>
          <t>Shaker</t>
        </is>
      </c>
      <c r="I16" s="16" t="inlineStr">
        <is>
          <t>Lazy susan</t>
        </is>
      </c>
    </row>
    <row r="17">
      <c r="A17" s="16" t="inlineStr">
        <is>
          <t>T15</t>
        </is>
      </c>
      <c r="B17" s="16" t="inlineStr">
        <is>
          <t>Tall Pantry 15W x 84H</t>
        </is>
      </c>
      <c r="C17" s="16" t="inlineStr">
        <is>
          <t>Tall</t>
        </is>
      </c>
      <c r="D17" s="17" t="n">
        <v>15</v>
      </c>
      <c r="E17" s="17" t="n">
        <v>84</v>
      </c>
      <c r="F17" s="17" t="n">
        <v>24</v>
      </c>
      <c r="G17" s="16" t="inlineStr">
        <is>
          <t>Standard 1</t>
        </is>
      </c>
      <c r="H17" s="16" t="inlineStr">
        <is>
          <t>Shaker</t>
        </is>
      </c>
      <c r="I17" s="16" t="inlineStr">
        <is>
          <t>Heritage spec</t>
        </is>
      </c>
    </row>
    <row r="18">
      <c r="A18" s="16" t="inlineStr">
        <is>
          <t>T18</t>
        </is>
      </c>
      <c r="B18" s="16" t="inlineStr">
        <is>
          <t>Tall Pantry 18W x 84H</t>
        </is>
      </c>
      <c r="C18" s="16" t="inlineStr">
        <is>
          <t>Tall</t>
        </is>
      </c>
      <c r="D18" s="17" t="n">
        <v>18</v>
      </c>
      <c r="E18" s="17" t="n">
        <v>84</v>
      </c>
      <c r="F18" s="17" t="n">
        <v>24</v>
      </c>
      <c r="G18" s="16" t="inlineStr">
        <is>
          <t>Standard 1</t>
        </is>
      </c>
      <c r="H18" s="16" t="inlineStr">
        <is>
          <t>Shaker</t>
        </is>
      </c>
      <c r="I18" s="16" t="inlineStr"/>
    </row>
    <row r="19">
      <c r="A19" s="16" t="inlineStr">
        <is>
          <t>T24</t>
        </is>
      </c>
      <c r="B19" s="16" t="inlineStr">
        <is>
          <t>Tall Pantry 24W x 84H</t>
        </is>
      </c>
      <c r="C19" s="16" t="inlineStr">
        <is>
          <t>Tall</t>
        </is>
      </c>
      <c r="D19" s="17" t="n">
        <v>24</v>
      </c>
      <c r="E19" s="17" t="n">
        <v>84</v>
      </c>
      <c r="F19" s="17" t="n">
        <v>24</v>
      </c>
      <c r="G19" s="16" t="inlineStr">
        <is>
          <t>Standard 1</t>
        </is>
      </c>
      <c r="H19" s="16" t="inlineStr">
        <is>
          <t>Shaker</t>
        </is>
      </c>
      <c r="I19" s="16" t="inlineStr"/>
    </row>
    <row r="20">
      <c r="A20" s="16" t="inlineStr">
        <is>
          <t>VAN24</t>
        </is>
      </c>
      <c r="B20" s="16" t="inlineStr">
        <is>
          <t>Bath Vanity 24W</t>
        </is>
      </c>
      <c r="C20" s="16" t="inlineStr">
        <is>
          <t>Vanity</t>
        </is>
      </c>
      <c r="D20" s="17" t="n">
        <v>24</v>
      </c>
      <c r="E20" s="17" t="n">
        <v>34.5</v>
      </c>
      <c r="F20" s="17" t="n">
        <v>21</v>
      </c>
      <c r="G20" s="16" t="inlineStr">
        <is>
          <t>Standard 1</t>
        </is>
      </c>
      <c r="H20" s="16" t="inlineStr">
        <is>
          <t>Shaker</t>
        </is>
      </c>
      <c r="I20" s="16" t="inlineStr">
        <is>
          <t>Single sink</t>
        </is>
      </c>
    </row>
    <row r="21">
      <c r="A21" s="16" t="inlineStr">
        <is>
          <t>VAN30</t>
        </is>
      </c>
      <c r="B21" s="16" t="inlineStr">
        <is>
          <t>Bath Vanity 30W</t>
        </is>
      </c>
      <c r="C21" s="16" t="inlineStr">
        <is>
          <t>Vanity</t>
        </is>
      </c>
      <c r="D21" s="17" t="n">
        <v>30</v>
      </c>
      <c r="E21" s="17" t="n">
        <v>34.5</v>
      </c>
      <c r="F21" s="17" t="n">
        <v>21</v>
      </c>
      <c r="G21" s="16" t="inlineStr">
        <is>
          <t>Standard 1</t>
        </is>
      </c>
      <c r="H21" s="16" t="inlineStr">
        <is>
          <t>Shaker</t>
        </is>
      </c>
      <c r="I21" s="16" t="inlineStr">
        <is>
          <t>Single sink</t>
        </is>
      </c>
    </row>
    <row r="22">
      <c r="A22" s="16" t="inlineStr">
        <is>
          <t>VAN36</t>
        </is>
      </c>
      <c r="B22" s="16" t="inlineStr">
        <is>
          <t>Bath Vanity 36W</t>
        </is>
      </c>
      <c r="C22" s="16" t="inlineStr">
        <is>
          <t>Vanity</t>
        </is>
      </c>
      <c r="D22" s="17" t="n">
        <v>36</v>
      </c>
      <c r="E22" s="17" t="n">
        <v>34.5</v>
      </c>
      <c r="F22" s="17" t="n">
        <v>21</v>
      </c>
      <c r="G22" s="16" t="inlineStr">
        <is>
          <t>Standard 1</t>
        </is>
      </c>
      <c r="H22" s="16" t="inlineStr">
        <is>
          <t>Shaker</t>
        </is>
      </c>
      <c r="I22" s="16" t="inlineStr">
        <is>
          <t>Single sink</t>
        </is>
      </c>
    </row>
    <row r="23">
      <c r="A23" s="16" t="inlineStr">
        <is>
          <t>VAN48</t>
        </is>
      </c>
      <c r="B23" s="16" t="inlineStr">
        <is>
          <t>Bath Vanity 48W</t>
        </is>
      </c>
      <c r="C23" s="16" t="inlineStr">
        <is>
          <t>Vanity</t>
        </is>
      </c>
      <c r="D23" s="17" t="n">
        <v>48</v>
      </c>
      <c r="E23" s="17" t="n">
        <v>34.5</v>
      </c>
      <c r="F23" s="17" t="n">
        <v>21</v>
      </c>
      <c r="G23" s="16" t="inlineStr">
        <is>
          <t>Standard 1</t>
        </is>
      </c>
      <c r="H23" s="16" t="inlineStr">
        <is>
          <t>Shaker</t>
        </is>
      </c>
      <c r="I23" s="16" t="inlineStr">
        <is>
          <t>Double sink</t>
        </is>
      </c>
    </row>
    <row r="24">
      <c r="A24" s="16" t="inlineStr">
        <is>
          <t>VAN60</t>
        </is>
      </c>
      <c r="B24" s="16" t="inlineStr">
        <is>
          <t>Bath Vanity 60W</t>
        </is>
      </c>
      <c r="C24" s="16" t="inlineStr">
        <is>
          <t>Vanity</t>
        </is>
      </c>
      <c r="D24" s="17" t="n">
        <v>60</v>
      </c>
      <c r="E24" s="17" t="n">
        <v>34.5</v>
      </c>
      <c r="F24" s="17" t="n">
        <v>21</v>
      </c>
      <c r="G24" s="16" t="inlineStr">
        <is>
          <t>Standard 1</t>
        </is>
      </c>
      <c r="H24" s="16" t="inlineStr">
        <is>
          <t>Shaker</t>
        </is>
      </c>
      <c r="I24" s="16" t="inlineStr">
        <is>
          <t>Double sink</t>
        </is>
      </c>
    </row>
    <row r="25">
      <c r="A25" s="16" t="inlineStr">
        <is>
          <t>MED24</t>
        </is>
      </c>
      <c r="B25" s="16" t="inlineStr">
        <is>
          <t>Medicine Cabinet 24W</t>
        </is>
      </c>
      <c r="C25" s="16" t="inlineStr">
        <is>
          <t>Bath</t>
        </is>
      </c>
      <c r="D25" s="17" t="n">
        <v>24</v>
      </c>
      <c r="E25" s="17" t="n">
        <v>30</v>
      </c>
      <c r="F25" s="17" t="n">
        <v>4</v>
      </c>
      <c r="G25" s="16" t="inlineStr">
        <is>
          <t>Standard 1</t>
        </is>
      </c>
      <c r="H25" s="16" t="inlineStr">
        <is>
          <t>Mirror</t>
        </is>
      </c>
      <c r="I25" s="16" t="inlineStr"/>
    </row>
    <row r="26">
      <c r="A26" s="16" t="inlineStr">
        <is>
          <t>MED30</t>
        </is>
      </c>
      <c r="B26" s="16" t="inlineStr">
        <is>
          <t>Medicine Cabinet 30W</t>
        </is>
      </c>
      <c r="C26" s="16" t="inlineStr">
        <is>
          <t>Bath</t>
        </is>
      </c>
      <c r="D26" s="17" t="n">
        <v>30</v>
      </c>
      <c r="E26" s="17" t="n">
        <v>30</v>
      </c>
      <c r="F26" s="17" t="n">
        <v>4</v>
      </c>
      <c r="G26" s="16" t="inlineStr">
        <is>
          <t>Standard 1</t>
        </is>
      </c>
      <c r="H26" s="16" t="inlineStr">
        <is>
          <t>Mirror</t>
        </is>
      </c>
      <c r="I26" s="16" t="inlineStr"/>
    </row>
    <row r="27">
      <c r="A27" s="16" t="inlineStr">
        <is>
          <t>MED36</t>
        </is>
      </c>
      <c r="B27" s="16" t="inlineStr">
        <is>
          <t>Medicine Cabinet 36W</t>
        </is>
      </c>
      <c r="C27" s="16" t="inlineStr">
        <is>
          <t>Bath</t>
        </is>
      </c>
      <c r="D27" s="17" t="n">
        <v>36</v>
      </c>
      <c r="E27" s="17" t="n">
        <v>30</v>
      </c>
      <c r="F27" s="17" t="n">
        <v>4</v>
      </c>
      <c r="G27" s="16" t="inlineStr">
        <is>
          <t>Standard 1</t>
        </is>
      </c>
      <c r="H27" s="16" t="inlineStr">
        <is>
          <t>Mirror</t>
        </is>
      </c>
      <c r="I27" s="16" t="inlineStr"/>
    </row>
    <row r="28">
      <c r="A28" s="16" t="inlineStr">
        <is>
          <t>MED60</t>
        </is>
      </c>
      <c r="B28" s="16" t="inlineStr">
        <is>
          <t>Medicine Cabinet 60W</t>
        </is>
      </c>
      <c r="C28" s="16" t="inlineStr">
        <is>
          <t>Bath</t>
        </is>
      </c>
      <c r="D28" s="17" t="n">
        <v>60</v>
      </c>
      <c r="E28" s="17" t="n">
        <v>30</v>
      </c>
      <c r="F28" s="17" t="n">
        <v>4</v>
      </c>
      <c r="G28" s="16" t="inlineStr">
        <is>
          <t>Standard 1</t>
        </is>
      </c>
      <c r="H28" s="16" t="inlineStr">
        <is>
          <t>Mirror</t>
        </is>
      </c>
      <c r="I28" s="16" t="inlineStr"/>
    </row>
    <row r="29">
      <c r="A29" s="16" t="inlineStr">
        <is>
          <t>LIN18</t>
        </is>
      </c>
      <c r="B29" s="16" t="inlineStr">
        <is>
          <t>Linen Cabinet 18W x 84H</t>
        </is>
      </c>
      <c r="C29" s="16" t="inlineStr">
        <is>
          <t>Bath</t>
        </is>
      </c>
      <c r="D29" s="17" t="n">
        <v>18</v>
      </c>
      <c r="E29" s="17" t="n">
        <v>84</v>
      </c>
      <c r="F29" s="17" t="n">
        <v>18</v>
      </c>
      <c r="G29" s="16" t="inlineStr">
        <is>
          <t>Standard 1</t>
        </is>
      </c>
      <c r="H29" s="16" t="inlineStr">
        <is>
          <t>Shaker</t>
        </is>
      </c>
      <c r="I2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35" customWidth="1" min="4" max="4"/>
    <col width="18" customWidth="1" min="5" max="5"/>
    <col width="20" customWidth="1" min="6" max="6"/>
  </cols>
  <sheetData>
    <row r="1">
      <c r="A1" s="1" t="inlineStr">
        <is>
          <t>JOB COSTING — CASA FAMILIA TOTAL ESTIMATE</t>
        </is>
      </c>
    </row>
    <row r="2">
      <c r="A2" s="2" t="inlineStr">
        <is>
          <t>Atlantic Pacific Communities  |  GP Target: 35%</t>
        </is>
      </c>
    </row>
    <row r="4">
      <c r="A4" s="3" t="inlineStr">
        <is>
          <t>A. QUANTITIES</t>
        </is>
      </c>
    </row>
    <row r="5">
      <c r="B5" s="5" t="inlineStr">
        <is>
          <t>Total Cabinet Count:</t>
        </is>
      </c>
      <c r="E5" s="3" t="n">
        <v>225</v>
      </c>
      <c r="F5" s="5" t="inlineStr">
        <is>
          <t>units</t>
        </is>
      </c>
    </row>
    <row r="6">
      <c r="B6" s="5" t="inlineStr">
        <is>
          <t>Containers Required:</t>
        </is>
      </c>
      <c r="E6" s="3" t="n">
        <v>2</v>
      </c>
      <c r="F6" s="5" t="inlineStr">
        <is>
          <t>containers (220 cabs each)</t>
        </is>
      </c>
    </row>
    <row r="8">
      <c r="A8" s="3" t="inlineStr">
        <is>
          <t>B. MATERIAL COST</t>
        </is>
      </c>
    </row>
    <row r="9">
      <c r="B9" s="5" t="inlineStr">
        <is>
          <t>Material Cost (from price list)</t>
        </is>
      </c>
      <c r="E9" s="18" t="n">
        <v>15799.55</v>
      </c>
    </row>
    <row r="11">
      <c r="A11" s="3" t="inlineStr">
        <is>
          <t>C. PROJECT COSTS</t>
        </is>
      </c>
    </row>
    <row r="12">
      <c r="A12" s="19" t="inlineStr">
        <is>
          <t>#</t>
        </is>
      </c>
      <c r="B12" s="19" t="inlineStr">
        <is>
          <t>Cost Item</t>
        </is>
      </c>
      <c r="C12" s="20" t="n"/>
      <c r="D12" s="19" t="inlineStr">
        <is>
          <t>Basis</t>
        </is>
      </c>
      <c r="E12" s="19" t="inlineStr">
        <is>
          <t>Amount ($)</t>
        </is>
      </c>
    </row>
    <row r="13">
      <c r="A13" s="21" t="inlineStr">
        <is>
          <t>1</t>
        </is>
      </c>
      <c r="B13" s="21" t="inlineStr">
        <is>
          <t>Material Cost (cabinets)</t>
        </is>
      </c>
      <c r="C13" s="22" t="n"/>
      <c r="D13" s="23" t="inlineStr">
        <is>
          <t>Invoice / Price List</t>
        </is>
      </c>
      <c r="E13" s="24" t="n">
        <v>15799.55</v>
      </c>
    </row>
    <row r="14">
      <c r="A14" s="21" t="inlineStr">
        <is>
          <t>2</t>
        </is>
      </c>
      <c r="B14" s="21" t="inlineStr">
        <is>
          <t>Local Use Tax</t>
        </is>
      </c>
      <c r="C14" s="22" t="n"/>
      <c r="D14" s="23" t="inlineStr">
        <is>
          <t>7.5% of Material</t>
        </is>
      </c>
      <c r="E14" s="24" t="n">
        <v>1184.96625</v>
      </c>
    </row>
    <row r="15">
      <c r="A15" s="21" t="inlineStr">
        <is>
          <t>3</t>
        </is>
      </c>
      <c r="B15" s="21" t="inlineStr">
        <is>
          <t>Ocean Freight / Shipping</t>
        </is>
      </c>
      <c r="C15" s="22" t="n"/>
      <c r="D15" s="23" t="inlineStr">
        <is>
          <t>$4,500 × 2 containers</t>
        </is>
      </c>
      <c r="E15" s="24" t="n">
        <v>9000</v>
      </c>
    </row>
    <row r="16">
      <c r="A16" s="21" t="inlineStr">
        <is>
          <t>4</t>
        </is>
      </c>
      <c r="B16" s="21" t="inlineStr">
        <is>
          <t>Inland Delivery</t>
        </is>
      </c>
      <c r="C16" s="22" t="n"/>
      <c r="D16" s="23" t="inlineStr">
        <is>
          <t>Fixed</t>
        </is>
      </c>
      <c r="E16" s="24" t="n">
        <v>1200</v>
      </c>
    </row>
    <row r="17">
      <c r="A17" s="21" t="inlineStr">
        <is>
          <t>5</t>
        </is>
      </c>
      <c r="B17" s="21" t="inlineStr">
        <is>
          <t>Installation</t>
        </is>
      </c>
      <c r="C17" s="22" t="n"/>
      <c r="D17" s="23" t="inlineStr">
        <is>
          <t>$85/cabinet × 225 cabs</t>
        </is>
      </c>
      <c r="E17" s="24" t="n">
        <v>19125</v>
      </c>
    </row>
    <row r="18">
      <c r="A18" s="21" t="inlineStr">
        <is>
          <t>6</t>
        </is>
      </c>
      <c r="B18" s="21" t="inlineStr">
        <is>
          <t>Warehousing</t>
        </is>
      </c>
      <c r="C18" s="22" t="n"/>
      <c r="D18" s="23" t="inlineStr">
        <is>
          <t>2.0% of Material</t>
        </is>
      </c>
      <c r="E18" s="24" t="n">
        <v>315.991</v>
      </c>
    </row>
    <row r="19">
      <c r="A19" s="21" t="inlineStr">
        <is>
          <t>7</t>
        </is>
      </c>
      <c r="B19" s="21" t="inlineStr">
        <is>
          <t>Material Protection</t>
        </is>
      </c>
      <c r="C19" s="22" t="n"/>
      <c r="D19" s="23" t="inlineStr">
        <is>
          <t>0.5% of Material</t>
        </is>
      </c>
      <c r="E19" s="24" t="n">
        <v>78.99775000000001</v>
      </c>
    </row>
    <row r="20">
      <c r="A20" s="21" t="inlineStr">
        <is>
          <t>8</t>
        </is>
      </c>
      <c r="B20" s="21" t="inlineStr">
        <is>
          <t>Insurance</t>
        </is>
      </c>
      <c r="C20" s="22" t="n"/>
      <c r="D20" s="23" t="inlineStr">
        <is>
          <t>0.8% of Material</t>
        </is>
      </c>
      <c r="E20" s="24" t="n">
        <v>126.3964</v>
      </c>
    </row>
    <row r="21">
      <c r="A21" s="21" t="inlineStr">
        <is>
          <t>9</t>
        </is>
      </c>
      <c r="B21" s="21" t="inlineStr">
        <is>
          <t>Miscellaneous Allowance</t>
        </is>
      </c>
      <c r="C21" s="22" t="n"/>
      <c r="D21" s="23" t="inlineStr">
        <is>
          <t>Fixed</t>
        </is>
      </c>
      <c r="E21" s="24" t="n">
        <v>500</v>
      </c>
    </row>
    <row r="22">
      <c r="A22" s="13" t="inlineStr">
        <is>
          <t>PRE-MARGIN SUBTOTAL</t>
        </is>
      </c>
      <c r="B22" s="25" t="n"/>
      <c r="C22" s="25" t="n"/>
      <c r="D22" s="25" t="n"/>
      <c r="E22" s="26" t="n">
        <v>47330.9014</v>
      </c>
    </row>
    <row r="24">
      <c r="A24" s="3" t="inlineStr">
        <is>
          <t>D. MARGIN &amp; OVERHEAD</t>
        </is>
      </c>
    </row>
    <row r="25">
      <c r="A25" s="21" t="inlineStr">
        <is>
          <t>10</t>
        </is>
      </c>
      <c r="B25" s="21" t="inlineStr">
        <is>
          <t>Commission</t>
        </is>
      </c>
      <c r="C25" s="22" t="n"/>
      <c r="D25" s="23" t="inlineStr">
        <is>
          <t>5.0% of Selling Price</t>
        </is>
      </c>
      <c r="E25" s="27" t="n">
        <v>4045.376188034189</v>
      </c>
    </row>
    <row r="26">
      <c r="A26" s="21" t="inlineStr">
        <is>
          <t>11</t>
        </is>
      </c>
      <c r="B26" s="21" t="inlineStr">
        <is>
          <t>Bond</t>
        </is>
      </c>
      <c r="C26" s="22" t="n"/>
      <c r="D26" s="23" t="inlineStr">
        <is>
          <t>1.5% of Selling Price</t>
        </is>
      </c>
      <c r="E26" s="27" t="n">
        <v>1213.612856410257</v>
      </c>
    </row>
    <row r="27">
      <c r="A27" s="21" t="inlineStr">
        <is>
          <t>12</t>
        </is>
      </c>
      <c r="B27" s="21" t="inlineStr">
        <is>
          <t>Gross Profit</t>
        </is>
      </c>
      <c r="C27" s="22" t="n"/>
      <c r="D27" s="23" t="inlineStr">
        <is>
          <t>35.0% of Selling Price</t>
        </is>
      </c>
      <c r="E27" s="27" t="n">
        <v>28317.63331623932</v>
      </c>
    </row>
    <row r="30">
      <c r="A30" s="28" t="inlineStr">
        <is>
          <t>E. SELLING PRICE (TOTAL PROJECT)</t>
        </is>
      </c>
      <c r="E30" s="29" t="n">
        <v>80907.52376068378</v>
      </c>
    </row>
    <row r="32">
      <c r="A32" s="3" t="inlineStr">
        <is>
          <t>F. VERIFICATION</t>
        </is>
      </c>
    </row>
    <row r="33">
      <c r="B33" s="3" t="inlineStr">
        <is>
          <t>Gross Profit Amount:</t>
        </is>
      </c>
      <c r="E33" s="30" t="n">
        <v>28317.63331623932</v>
      </c>
    </row>
    <row r="34">
      <c r="B34" s="3" t="inlineStr">
        <is>
          <t>Gross Profit %:</t>
        </is>
      </c>
      <c r="E34" s="31" t="n">
        <v>0.35</v>
      </c>
    </row>
    <row r="35">
      <c r="B35" s="3" t="inlineStr">
        <is>
          <t>Total Cost:</t>
        </is>
      </c>
      <c r="E35" s="30" t="n">
        <v>52589.89044444446</v>
      </c>
    </row>
    <row r="36">
      <c r="B36" s="3" t="inlineStr">
        <is>
          <t>Cost per Cabinet:</t>
        </is>
      </c>
      <c r="E36" s="30" t="n">
        <v>233.7328464197531</v>
      </c>
    </row>
    <row r="37">
      <c r="B37" s="3" t="inlineStr">
        <is>
          <t>Sell per Cabinet:</t>
        </is>
      </c>
      <c r="E37" s="30" t="n">
        <v>359.5889944919279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0.5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0.5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0.5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28.4"H</t>
        </is>
      </c>
      <c r="D14" s="16" t="inlineStr">
        <is>
          <t>Base</t>
        </is>
      </c>
      <c r="E14" s="17" t="n">
        <v>35.4</v>
      </c>
      <c r="F14" s="17" t="n">
        <v>28.4</v>
      </c>
      <c r="G14" s="17" t="n">
        <v>0.9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28.4"H</t>
        </is>
      </c>
      <c r="D15" s="16" t="inlineStr">
        <is>
          <t>Base</t>
        </is>
      </c>
      <c r="E15" s="17" t="n">
        <v>30</v>
      </c>
      <c r="F15" s="17" t="n">
        <v>28.4</v>
      </c>
      <c r="G15" s="17" t="n">
        <v>0.9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0.9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0.5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34.2"H</t>
        </is>
      </c>
      <c r="D23" s="16" t="inlineStr">
        <is>
          <t>Vanity</t>
        </is>
      </c>
      <c r="E23" s="17" t="n">
        <v>74</v>
      </c>
      <c r="F23" s="17" t="n">
        <v>34.2</v>
      </c>
      <c r="G23" s="17" t="n">
        <v>0.8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0.9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A1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2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A2-ADA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W35-30-ADA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0.5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MW30-15-ADA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0.5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0.5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B35-ADA</t>
        </is>
      </c>
      <c r="C14" s="16" t="inlineStr">
        <is>
          <t>base 35.4"W × 34.0"H</t>
        </is>
      </c>
      <c r="D14" s="16" t="inlineStr">
        <is>
          <t>Base</t>
        </is>
      </c>
      <c r="E14" s="17" t="n">
        <v>35.4</v>
      </c>
      <c r="F14" s="17" t="n">
        <v>34</v>
      </c>
      <c r="G14" s="17" t="n">
        <v>0.9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B30-ADA</t>
        </is>
      </c>
      <c r="C15" s="16" t="inlineStr">
        <is>
          <t>base 30.0"W × 34.0"H</t>
        </is>
      </c>
      <c r="D15" s="16" t="inlineStr">
        <is>
          <t>Base</t>
        </is>
      </c>
      <c r="E15" s="17" t="n">
        <v>30</v>
      </c>
      <c r="F15" s="17" t="n">
        <v>34</v>
      </c>
      <c r="G15" s="17" t="n">
        <v>0.9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T12-84-ADA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0.9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W35-30-ADA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0.5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VAN74-ADA</t>
        </is>
      </c>
      <c r="C23" s="16" t="inlineStr">
        <is>
          <t>vanity 74.0"W × 34.0"H</t>
        </is>
      </c>
      <c r="D23" s="16" t="inlineStr">
        <is>
          <t>Vanity</t>
        </is>
      </c>
      <c r="E23" s="17" t="n">
        <v>74</v>
      </c>
      <c r="F23" s="17" t="n">
        <v>34</v>
      </c>
      <c r="G23" s="17" t="n">
        <v>0.8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LIN24-ADA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0.9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A2-ADA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0.5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0.5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0.5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28.4"H</t>
        </is>
      </c>
      <c r="D14" s="16" t="inlineStr">
        <is>
          <t>Base</t>
        </is>
      </c>
      <c r="E14" s="17" t="n">
        <v>35.4</v>
      </c>
      <c r="F14" s="17" t="n">
        <v>28.4</v>
      </c>
      <c r="G14" s="17" t="n">
        <v>0.9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28.4"H</t>
        </is>
      </c>
      <c r="D15" s="16" t="inlineStr">
        <is>
          <t>Base</t>
        </is>
      </c>
      <c r="E15" s="17" t="n">
        <v>30</v>
      </c>
      <c r="F15" s="17" t="n">
        <v>28.4</v>
      </c>
      <c r="G15" s="17" t="n">
        <v>0.9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0.9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0.5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34.2"H</t>
        </is>
      </c>
      <c r="D23" s="16" t="inlineStr">
        <is>
          <t>Vanity</t>
        </is>
      </c>
      <c r="E23" s="17" t="n">
        <v>74</v>
      </c>
      <c r="F23" s="17" t="n">
        <v>34.2</v>
      </c>
      <c r="G23" s="17" t="n">
        <v>0.8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0.9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A3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0.5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0.5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0.5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28.4"H</t>
        </is>
      </c>
      <c r="D14" s="16" t="inlineStr">
        <is>
          <t>Base</t>
        </is>
      </c>
      <c r="E14" s="17" t="n">
        <v>35.4</v>
      </c>
      <c r="F14" s="17" t="n">
        <v>28.4</v>
      </c>
      <c r="G14" s="17" t="n">
        <v>0.9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28.4"H</t>
        </is>
      </c>
      <c r="D15" s="16" t="inlineStr">
        <is>
          <t>Base</t>
        </is>
      </c>
      <c r="E15" s="17" t="n">
        <v>30</v>
      </c>
      <c r="F15" s="17" t="n">
        <v>28.4</v>
      </c>
      <c r="G15" s="17" t="n">
        <v>0.9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0.9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0.5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34.2"H</t>
        </is>
      </c>
      <c r="D23" s="16" t="inlineStr">
        <is>
          <t>Vanity</t>
        </is>
      </c>
      <c r="E23" s="17" t="n">
        <v>74</v>
      </c>
      <c r="F23" s="17" t="n">
        <v>34.2</v>
      </c>
      <c r="G23" s="17" t="n">
        <v>0.8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0.9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B1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2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B2-ADA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W35-30-ADA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0.5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MW30-15-ADA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0.5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0.5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B35-ADA</t>
        </is>
      </c>
      <c r="C14" s="16" t="inlineStr">
        <is>
          <t>base 35.4"W × 34.0"H</t>
        </is>
      </c>
      <c r="D14" s="16" t="inlineStr">
        <is>
          <t>Base</t>
        </is>
      </c>
      <c r="E14" s="17" t="n">
        <v>35.4</v>
      </c>
      <c r="F14" s="17" t="n">
        <v>34</v>
      </c>
      <c r="G14" s="17" t="n">
        <v>0.9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B30-ADA</t>
        </is>
      </c>
      <c r="C15" s="16" t="inlineStr">
        <is>
          <t>base 30.0"W × 34.0"H</t>
        </is>
      </c>
      <c r="D15" s="16" t="inlineStr">
        <is>
          <t>Base</t>
        </is>
      </c>
      <c r="E15" s="17" t="n">
        <v>30</v>
      </c>
      <c r="F15" s="17" t="n">
        <v>34</v>
      </c>
      <c r="G15" s="17" t="n">
        <v>0.9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T12-84-ADA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0.9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W35-30-ADA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0.5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VAN74-ADA</t>
        </is>
      </c>
      <c r="C23" s="16" t="inlineStr">
        <is>
          <t>vanity 74.0"W × 34.0"H</t>
        </is>
      </c>
      <c r="D23" s="16" t="inlineStr">
        <is>
          <t>Vanity</t>
        </is>
      </c>
      <c r="E23" s="17" t="n">
        <v>74</v>
      </c>
      <c r="F23" s="17" t="n">
        <v>34</v>
      </c>
      <c r="G23" s="17" t="n">
        <v>0.8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LIN24-ADA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0.9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B2-ADA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2026-06-29T13:02:41Z</dcterms:created>
  <dcterms:modified xmlns:dcterms="http://purl.org/dc/terms/" xmlns:xsi="http://www.w3.org/2001/XMLSchema-instance" xsi:type="dcterms:W3CDTF">2026-06-29T13:02:41Z</dcterms:modified>
</cp:coreProperties>
</file>