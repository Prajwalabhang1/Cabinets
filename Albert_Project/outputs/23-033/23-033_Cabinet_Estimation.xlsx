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ject Info" sheetId="1" state="visible" r:id="rId1"/>
    <sheet xmlns:r="http://schemas.openxmlformats.org/officeDocument/2006/relationships" name="Cabinet Matrix" sheetId="2" state="visible" r:id="rId2"/>
    <sheet xmlns:r="http://schemas.openxmlformats.org/officeDocument/2006/relationships" name="Cabinet Library" sheetId="3" state="visible" r:id="rId3"/>
    <sheet xmlns:r="http://schemas.openxmlformats.org/officeDocument/2006/relationships" name="Job Costing" sheetId="4" state="visible" r:id="rId4"/>
    <sheet xmlns:r="http://schemas.openxmlformats.org/officeDocument/2006/relationships" name="SD-A1" sheetId="5" state="visible" r:id="rId5"/>
    <sheet xmlns:r="http://schemas.openxmlformats.org/officeDocument/2006/relationships" name="SD-A2-ADA" sheetId="6" state="visible" r:id="rId6"/>
    <sheet xmlns:r="http://schemas.openxmlformats.org/officeDocument/2006/relationships" name="SD-A3" sheetId="7" state="visible" r:id="rId7"/>
    <sheet xmlns:r="http://schemas.openxmlformats.org/officeDocument/2006/relationships" name="SD-B1" sheetId="8" state="visible" r:id="rId8"/>
    <sheet xmlns:r="http://schemas.openxmlformats.org/officeDocument/2006/relationships" name="SD-B2-ADA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$#,##0.00"/>
  </numFmts>
  <fonts count="9">
    <font>
      <name val="Calibri"/>
      <family val="2"/>
      <color theme="1"/>
      <sz val="11"/>
      <scheme val="minor"/>
    </font>
    <font>
      <name val="Arial"/>
      <b val="1"/>
      <color rgb="001B365D"/>
      <sz val="16"/>
    </font>
    <font>
      <name val="Arial"/>
      <i val="1"/>
      <sz val="8"/>
    </font>
    <font>
      <name val="Arial"/>
      <b val="1"/>
      <sz val="10"/>
    </font>
    <font>
      <name val="Arial"/>
      <sz val="10"/>
    </font>
    <font>
      <name val="Arial"/>
      <b val="1"/>
      <color rgb="001B365D"/>
      <sz val="10"/>
    </font>
    <font>
      <name val="Arial"/>
      <b val="1"/>
      <color rgb="00FFFFFF"/>
      <sz val="10"/>
    </font>
    <font>
      <name val="Arial"/>
      <b val="1"/>
      <color rgb="001B365D"/>
      <sz val="14"/>
    </font>
    <font>
      <name val="Arial"/>
      <b val="1"/>
      <color rgb="001B365D"/>
      <sz val="12"/>
    </font>
  </fonts>
  <fills count="7">
    <fill>
      <patternFill/>
    </fill>
    <fill>
      <patternFill patternType="gray125"/>
    </fill>
    <fill>
      <patternFill patternType="solid">
        <fgColor rgb="00D9E1F2"/>
        <bgColor rgb="00D9E1F2"/>
      </patternFill>
    </fill>
    <fill>
      <patternFill patternType="solid">
        <fgColor rgb="00E2EFDA"/>
        <bgColor rgb="00E2EFDA"/>
      </patternFill>
    </fill>
    <fill>
      <patternFill patternType="solid">
        <fgColor rgb="001B365D"/>
        <bgColor rgb="001B365D"/>
      </patternFill>
    </fill>
    <fill>
      <patternFill patternType="solid">
        <fgColor rgb="00F2F4F7"/>
        <bgColor rgb="00F2F4F7"/>
      </patternFill>
    </fill>
    <fill>
      <patternFill patternType="solid">
        <fgColor rgb="00FFF2CC"/>
        <bgColor rgb="00FFF2CC"/>
      </patternFill>
    </fill>
  </fills>
  <borders count="3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top style="thin">
        <color rgb="00D3D3D3"/>
      </top>
      <bottom style="double">
        <color rgb="001B365D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4" fillId="0" borderId="0" pivotButton="0" quotePrefix="0" xfId="0"/>
    <xf numFmtId="164" fontId="4" fillId="2" borderId="0" pivotButton="0" quotePrefix="0" xfId="0"/>
    <xf numFmtId="0" fontId="4" fillId="3" borderId="0" pivotButton="0" quotePrefix="0" xfId="0"/>
    <xf numFmtId="165" fontId="5" fillId="3" borderId="0" pivotButton="0" quotePrefix="0" xfId="0"/>
    <xf numFmtId="0" fontId="6" fillId="4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" fillId="5" borderId="2" pivotButton="0" quotePrefix="0" xfId="0"/>
    <xf numFmtId="0" fontId="3" fillId="5" borderId="2" applyAlignment="1" pivotButton="0" quotePrefix="0" xfId="0">
      <alignment horizontal="center" vertical="center"/>
    </xf>
    <xf numFmtId="0" fontId="6" fillId="4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right" vertical="center"/>
    </xf>
    <xf numFmtId="165" fontId="4" fillId="0" borderId="0" pivotButton="0" quotePrefix="0" xfId="0"/>
    <xf numFmtId="0" fontId="3" fillId="5" borderId="1" pivotButton="0" quotePrefix="0" xfId="0"/>
    <xf numFmtId="0" fontId="0" fillId="5" borderId="1" pivotButton="0" quotePrefix="0" xfId="0"/>
    <xf numFmtId="0" fontId="4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4" fillId="0" borderId="1" pivotButton="0" quotePrefix="0" xfId="0"/>
    <xf numFmtId="0" fontId="0" fillId="5" borderId="2" pivotButton="0" quotePrefix="0" xfId="0"/>
    <xf numFmtId="165" fontId="3" fillId="6" borderId="2" pivotButton="0" quotePrefix="0" xfId="0"/>
    <xf numFmtId="165" fontId="3" fillId="0" borderId="1" pivotButton="0" quotePrefix="0" xfId="0"/>
    <xf numFmtId="0" fontId="7" fillId="0" borderId="0" pivotButton="0" quotePrefix="0" xfId="0"/>
    <xf numFmtId="165" fontId="7" fillId="3" borderId="0" pivotButton="0" quotePrefix="0" xfId="0"/>
    <xf numFmtId="165" fontId="3" fillId="0" borderId="0" pivotButton="0" quotePrefix="0" xfId="0"/>
    <xf numFmtId="164" fontId="3" fillId="0" borderId="0" pivotButton="0" quotePrefix="0" xfId="0"/>
    <xf numFmtId="0" fontId="8" fillId="0" borderId="0" pivotButton="0" quotePrefix="0" xfId="0"/>
    <xf numFmtId="0" fontId="5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</cols>
  <sheetData>
    <row r="1">
      <c r="A1" s="1" t="inlineStr">
        <is>
          <t>CABINET ESTIMATION — PROJECT INFORMATION</t>
        </is>
      </c>
    </row>
    <row r="2">
      <c r="A2" s="2" t="inlineStr">
        <is>
          <t>CASA FAMILIA — Atlantic Pacific Communities</t>
        </is>
      </c>
    </row>
    <row r="4">
      <c r="A4" s="3" t="inlineStr">
        <is>
          <t>Project Name:</t>
        </is>
      </c>
      <c r="B4" s="4" t="inlineStr">
        <is>
          <t>CASA FAMILIA</t>
        </is>
      </c>
    </row>
    <row r="5">
      <c r="A5" s="3" t="inlineStr">
        <is>
          <t>Project ID:</t>
        </is>
      </c>
      <c r="B5" s="4" t="inlineStr">
        <is>
          <t>23-033</t>
        </is>
      </c>
    </row>
    <row r="6">
      <c r="A6" s="3" t="inlineStr">
        <is>
          <t>Date:</t>
        </is>
      </c>
      <c r="B6" s="5">
        <f>TODAY()</f>
        <v/>
      </c>
    </row>
    <row r="7">
      <c r="A7" s="3" t="inlineStr">
        <is>
          <t>Prepared By:</t>
        </is>
      </c>
      <c r="B7" s="5" t="inlineStr">
        <is>
          <t>AI Estimation System</t>
        </is>
      </c>
    </row>
    <row r="8">
      <c r="A8" s="3" t="inlineStr">
        <is>
          <t>Address:</t>
        </is>
      </c>
      <c r="B8" s="5" t="inlineStr">
        <is>
          <t>10951 SW 84th St., Miami-Dade, Florida 33173</t>
        </is>
      </c>
    </row>
    <row r="9">
      <c r="A9" s="3" t="inlineStr">
        <is>
          <t>Price List:</t>
        </is>
      </c>
      <c r="B9" s="4" t="inlineStr">
        <is>
          <t>MS PRICE LIST LEVEL 1 -90CM.xlsx</t>
        </is>
      </c>
    </row>
    <row r="10">
      <c r="A10" s="3" t="inlineStr">
        <is>
          <t>GP Target %:</t>
        </is>
      </c>
      <c r="B10" s="6" t="n">
        <v>0.35</v>
      </c>
    </row>
    <row r="11">
      <c r="A11" s="3" t="inlineStr">
        <is>
          <t>Total Units:</t>
        </is>
      </c>
      <c r="B11" s="7" t="n">
        <v>25</v>
      </c>
    </row>
    <row r="12">
      <c r="A12" s="3" t="inlineStr">
        <is>
          <t>Total Cabinets:</t>
        </is>
      </c>
      <c r="B12" s="7" t="n">
        <v>1800</v>
      </c>
    </row>
    <row r="13">
      <c r="A13" s="3" t="inlineStr">
        <is>
          <t>Selling Price:</t>
        </is>
      </c>
      <c r="B13" s="8" t="n">
        <v>557337.7320000002</v>
      </c>
    </row>
    <row r="14">
      <c r="A14" s="3" t="inlineStr">
        <is>
          <t>Finish Tier:</t>
        </is>
      </c>
      <c r="B14" s="5" t="inlineStr">
        <is>
          <t>Standard 1</t>
        </is>
      </c>
    </row>
    <row r="15">
      <c r="A15" s="3" t="inlineStr">
        <is>
          <t>Door Style:</t>
        </is>
      </c>
      <c r="B15" s="5" t="inlineStr">
        <is>
          <t>Shaker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"/>
  <sheetViews>
    <sheetView workbookViewId="0">
      <selection activeCell="A1" sqref="A1"/>
    </sheetView>
  </sheetViews>
  <sheetFormatPr baseColWidth="8" defaultRowHeight="15"/>
  <cols>
    <col width="39" customWidth="1" min="1" max="1"/>
    <col width="12" customWidth="1" min="2" max="2"/>
    <col width="13" customWidth="1" min="3" max="3"/>
    <col width="12" customWidth="1" min="4" max="4"/>
    <col width="14" customWidth="1" min="5" max="5"/>
    <col width="12" customWidth="1" min="6" max="6"/>
    <col width="12" customWidth="1" min="7" max="7"/>
    <col width="16" customWidth="1" min="8" max="8"/>
    <col width="12" customWidth="1" min="9" max="9"/>
    <col width="12" customWidth="1" min="10" max="10"/>
    <col width="12" customWidth="1" min="11" max="11"/>
    <col width="13" customWidth="1" min="12" max="12"/>
    <col width="13" customWidth="1" min="13" max="13"/>
  </cols>
  <sheetData>
    <row r="1">
      <c r="A1" s="1" t="inlineStr">
        <is>
          <t>CABINET MATRIX — UNIT TYPE BREAKDOWN</t>
        </is>
      </c>
    </row>
    <row r="2"/>
    <row r="3"/>
    <row r="4">
      <c r="A4" s="9" t="inlineStr">
        <is>
          <t>Unit Type</t>
        </is>
      </c>
      <c r="B4" s="9" t="inlineStr">
        <is>
          <t>Qty</t>
        </is>
      </c>
      <c r="C4" s="9" t="inlineStr">
        <is>
          <t>Upper Wall</t>
        </is>
      </c>
      <c r="D4" s="9" t="inlineStr">
        <is>
          <t>Base</t>
        </is>
      </c>
      <c r="E4" s="9" t="inlineStr">
        <is>
          <t>Pantry/Tall</t>
        </is>
      </c>
      <c r="F4" s="9" t="inlineStr">
        <is>
          <t>Sink Base</t>
        </is>
      </c>
      <c r="G4" s="9" t="inlineStr">
        <is>
          <t>Corner</t>
        </is>
      </c>
      <c r="H4" s="9" t="inlineStr">
        <is>
          <t>Total Kitchen</t>
        </is>
      </c>
      <c r="I4" s="9" t="inlineStr">
        <is>
          <t>Vanity</t>
        </is>
      </c>
      <c r="J4" s="9" t="inlineStr">
        <is>
          <t>Medicine</t>
        </is>
      </c>
      <c r="K4" s="9" t="inlineStr">
        <is>
          <t>Linen</t>
        </is>
      </c>
      <c r="L4" s="9" t="inlineStr">
        <is>
          <t>Total Bath</t>
        </is>
      </c>
      <c r="M4" s="9" t="inlineStr">
        <is>
          <t>UNIT TOTAL</t>
        </is>
      </c>
    </row>
    <row r="5">
      <c r="A5" s="10" t="inlineStr">
        <is>
          <t>A1</t>
        </is>
      </c>
      <c r="B5" s="11" t="n">
        <v>14</v>
      </c>
      <c r="C5" s="11" t="n">
        <v>26</v>
      </c>
      <c r="D5" s="11" t="n">
        <v>32</v>
      </c>
      <c r="E5" s="11" t="n">
        <v>4</v>
      </c>
      <c r="F5" s="11" t="n">
        <v>3</v>
      </c>
      <c r="G5" s="11" t="n">
        <v>1</v>
      </c>
      <c r="H5" s="12">
        <f>SUM(C5:G5)</f>
        <v/>
      </c>
      <c r="I5" s="11" t="n">
        <v>14</v>
      </c>
      <c r="J5" s="11" t="n">
        <v>14</v>
      </c>
      <c r="K5" s="11" t="n">
        <v>9</v>
      </c>
      <c r="L5" s="12">
        <f>SUM(I5:K5)</f>
        <v/>
      </c>
      <c r="M5" s="12">
        <f>H5+L5</f>
        <v/>
      </c>
    </row>
    <row r="6">
      <c r="A6" s="10" t="inlineStr">
        <is>
          <t>A2-ADA</t>
        </is>
      </c>
      <c r="B6" s="11" t="n">
        <v>3</v>
      </c>
      <c r="C6" s="11" t="n">
        <v>22</v>
      </c>
      <c r="D6" s="11" t="n">
        <v>40</v>
      </c>
      <c r="E6" s="11" t="n">
        <v>4</v>
      </c>
      <c r="F6" s="11" t="n">
        <v>2</v>
      </c>
      <c r="G6" s="11" t="n">
        <v>0</v>
      </c>
      <c r="H6" s="12">
        <f>SUM(C6:G6)</f>
        <v/>
      </c>
      <c r="I6" s="11" t="n">
        <v>20</v>
      </c>
      <c r="J6" s="11" t="n">
        <v>18</v>
      </c>
      <c r="K6" s="11" t="n">
        <v>15</v>
      </c>
      <c r="L6" s="12">
        <f>SUM(I6:K6)</f>
        <v/>
      </c>
      <c r="M6" s="12">
        <f>H6+L6</f>
        <v/>
      </c>
    </row>
    <row r="7">
      <c r="A7" s="10" t="inlineStr">
        <is>
          <t>A3</t>
        </is>
      </c>
      <c r="B7" s="11" t="n">
        <v>2</v>
      </c>
      <c r="C7" s="11" t="n">
        <v>0</v>
      </c>
      <c r="D7" s="11" t="n">
        <v>0</v>
      </c>
      <c r="E7" s="11" t="n">
        <v>0</v>
      </c>
      <c r="F7" s="11" t="n">
        <v>0</v>
      </c>
      <c r="G7" s="11" t="n">
        <v>0</v>
      </c>
      <c r="H7" s="12">
        <f>SUM(C7:G7)</f>
        <v/>
      </c>
      <c r="I7" s="11" t="n">
        <v>0</v>
      </c>
      <c r="J7" s="11" t="n">
        <v>0</v>
      </c>
      <c r="K7" s="11" t="n">
        <v>0</v>
      </c>
      <c r="L7" s="12">
        <f>SUM(I7:K7)</f>
        <v/>
      </c>
      <c r="M7" s="12">
        <f>H7+L7</f>
        <v/>
      </c>
    </row>
    <row r="8">
      <c r="A8" s="10" t="inlineStr">
        <is>
          <t>B1</t>
        </is>
      </c>
      <c r="B8" s="11" t="n">
        <v>3</v>
      </c>
      <c r="C8" s="11" t="n">
        <v>0</v>
      </c>
      <c r="D8" s="11" t="n">
        <v>0</v>
      </c>
      <c r="E8" s="11" t="n">
        <v>0</v>
      </c>
      <c r="F8" s="11" t="n">
        <v>0</v>
      </c>
      <c r="G8" s="11" t="n">
        <v>0</v>
      </c>
      <c r="H8" s="12">
        <f>SUM(C8:G8)</f>
        <v/>
      </c>
      <c r="I8" s="11" t="n">
        <v>0</v>
      </c>
      <c r="J8" s="11" t="n">
        <v>0</v>
      </c>
      <c r="K8" s="11" t="n">
        <v>0</v>
      </c>
      <c r="L8" s="12">
        <f>SUM(I8:K8)</f>
        <v/>
      </c>
      <c r="M8" s="12">
        <f>H8+L8</f>
        <v/>
      </c>
    </row>
    <row r="9">
      <c r="A9" s="10" t="inlineStr">
        <is>
          <t>B2-ADA</t>
        </is>
      </c>
      <c r="B9" s="11" t="n">
        <v>3</v>
      </c>
      <c r="C9" s="11" t="n">
        <v>0</v>
      </c>
      <c r="D9" s="11" t="n">
        <v>0</v>
      </c>
      <c r="E9" s="11" t="n">
        <v>0</v>
      </c>
      <c r="F9" s="11" t="n">
        <v>0</v>
      </c>
      <c r="G9" s="11" t="n">
        <v>0</v>
      </c>
      <c r="H9" s="12">
        <f>SUM(C9:G9)</f>
        <v/>
      </c>
      <c r="I9" s="11" t="n">
        <v>0</v>
      </c>
      <c r="J9" s="11" t="n">
        <v>0</v>
      </c>
      <c r="K9" s="11" t="n">
        <v>0</v>
      </c>
      <c r="L9" s="12">
        <f>SUM(I9:K9)</f>
        <v/>
      </c>
      <c r="M9" s="12">
        <f>H9+L9</f>
        <v/>
      </c>
    </row>
    <row r="10">
      <c r="A10" s="13" t="inlineStr">
        <is>
          <t>PROJECT TOTALS</t>
        </is>
      </c>
      <c r="B10" s="14">
        <f>SUM(B5:B9)</f>
        <v/>
      </c>
      <c r="C10" s="14">
        <f>SUM(C5:C9)</f>
        <v/>
      </c>
      <c r="D10" s="14">
        <f>SUM(D5:D9)</f>
        <v/>
      </c>
      <c r="E10" s="14">
        <f>SUM(E5:E9)</f>
        <v/>
      </c>
      <c r="F10" s="14">
        <f>SUM(F5:F9)</f>
        <v/>
      </c>
      <c r="G10" s="14">
        <f>SUM(G5:G9)</f>
        <v/>
      </c>
      <c r="H10" s="14">
        <f>SUM(H5:H9)</f>
        <v/>
      </c>
      <c r="I10" s="14">
        <f>SUM(I5:I9)</f>
        <v/>
      </c>
      <c r="J10" s="14">
        <f>SUM(J5:J9)</f>
        <v/>
      </c>
      <c r="K10" s="14">
        <f>SUM(K5:K9)</f>
        <v/>
      </c>
      <c r="L10" s="14">
        <f>SUM(L5:L9)</f>
        <v/>
      </c>
      <c r="M10" s="14">
        <f>SUM(M5:M9)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selection activeCell="A1" sqref="A1"/>
    </sheetView>
  </sheetViews>
  <sheetFormatPr baseColWidth="8" defaultRowHeight="15"/>
  <cols>
    <col width="44" customWidth="1" min="1" max="1"/>
    <col width="26" customWidth="1" min="2" max="2"/>
    <col width="12" customWidth="1" min="3" max="3"/>
    <col width="12" customWidth="1" min="4" max="4"/>
    <col width="12" customWidth="1" min="5" max="5"/>
    <col width="12" customWidth="1" min="6" max="6"/>
    <col width="14" customWidth="1" min="7" max="7"/>
    <col width="13" customWidth="1" min="8" max="8"/>
    <col width="17" customWidth="1" min="9" max="9"/>
  </cols>
  <sheetData>
    <row r="1">
      <c r="A1" s="1" t="inlineStr">
        <is>
          <t>CABINET LIBRARY — STANDARD SPECIFICATIONS</t>
        </is>
      </c>
    </row>
    <row r="2"/>
    <row r="3">
      <c r="A3" s="15" t="inlineStr">
        <is>
          <t>Cabinet Code</t>
        </is>
      </c>
      <c r="B3" s="15" t="inlineStr">
        <is>
          <t>Description</t>
        </is>
      </c>
      <c r="C3" s="15" t="inlineStr">
        <is>
          <t>Type</t>
        </is>
      </c>
      <c r="D3" s="15" t="inlineStr">
        <is>
          <t>W (in)</t>
        </is>
      </c>
      <c r="E3" s="15" t="inlineStr">
        <is>
          <t>H (in)</t>
        </is>
      </c>
      <c r="F3" s="15" t="inlineStr">
        <is>
          <t>D (in)</t>
        </is>
      </c>
      <c r="G3" s="15" t="inlineStr">
        <is>
          <t>Finish Tier</t>
        </is>
      </c>
      <c r="H3" s="15" t="inlineStr">
        <is>
          <t>Door Style</t>
        </is>
      </c>
      <c r="I3" s="15" t="inlineStr">
        <is>
          <t>Notes</t>
        </is>
      </c>
    </row>
    <row r="4">
      <c r="A4" s="16" t="inlineStr">
        <is>
          <t>W12</t>
        </is>
      </c>
      <c r="B4" s="16" t="inlineStr">
        <is>
          <t>Wall Cabinet 12W x 12H</t>
        </is>
      </c>
      <c r="C4" s="16" t="inlineStr">
        <is>
          <t>Upper</t>
        </is>
      </c>
      <c r="D4" s="17" t="n">
        <v>12</v>
      </c>
      <c r="E4" s="17" t="n">
        <v>12</v>
      </c>
      <c r="F4" s="17" t="n">
        <v>13</v>
      </c>
      <c r="G4" s="16" t="inlineStr">
        <is>
          <t>Standard 1</t>
        </is>
      </c>
      <c r="H4" s="16" t="inlineStr">
        <is>
          <t>Shaker</t>
        </is>
      </c>
      <c r="I4" s="16" t="inlineStr">
        <is>
          <t>Over fridge</t>
        </is>
      </c>
    </row>
    <row r="5">
      <c r="A5" s="16" t="inlineStr">
        <is>
          <t>W18</t>
        </is>
      </c>
      <c r="B5" s="16" t="inlineStr">
        <is>
          <t>Wall Cabinet 18W x 18H</t>
        </is>
      </c>
      <c r="C5" s="16" t="inlineStr">
        <is>
          <t>Upper</t>
        </is>
      </c>
      <c r="D5" s="17" t="n">
        <v>18</v>
      </c>
      <c r="E5" s="17" t="n">
        <v>18</v>
      </c>
      <c r="F5" s="17" t="n">
        <v>13</v>
      </c>
      <c r="G5" s="16" t="inlineStr">
        <is>
          <t>Standard 1</t>
        </is>
      </c>
      <c r="H5" s="16" t="inlineStr">
        <is>
          <t>Shaker</t>
        </is>
      </c>
      <c r="I5" s="16" t="inlineStr">
        <is>
          <t>Over micro</t>
        </is>
      </c>
    </row>
    <row r="6">
      <c r="A6" s="16" t="inlineStr">
        <is>
          <t>W24</t>
        </is>
      </c>
      <c r="B6" s="16" t="inlineStr">
        <is>
          <t>Wall Cabinet 24W x 30H</t>
        </is>
      </c>
      <c r="C6" s="16" t="inlineStr">
        <is>
          <t>Upper</t>
        </is>
      </c>
      <c r="D6" s="17" t="n">
        <v>24</v>
      </c>
      <c r="E6" s="17" t="n">
        <v>30</v>
      </c>
      <c r="F6" s="17" t="n">
        <v>13</v>
      </c>
      <c r="G6" s="16" t="inlineStr">
        <is>
          <t>Standard 1</t>
        </is>
      </c>
      <c r="H6" s="16" t="inlineStr">
        <is>
          <t>Shaker</t>
        </is>
      </c>
      <c r="I6" s="16" t="inlineStr">
        <is>
          <t>Standard upper</t>
        </is>
      </c>
    </row>
    <row r="7">
      <c r="A7" s="16" t="inlineStr">
        <is>
          <t>W30</t>
        </is>
      </c>
      <c r="B7" s="16" t="inlineStr">
        <is>
          <t>Wall Cabinet 30W x 30H</t>
        </is>
      </c>
      <c r="C7" s="16" t="inlineStr">
        <is>
          <t>Upper</t>
        </is>
      </c>
      <c r="D7" s="17" t="n">
        <v>30</v>
      </c>
      <c r="E7" s="17" t="n">
        <v>30</v>
      </c>
      <c r="F7" s="17" t="n">
        <v>13</v>
      </c>
      <c r="G7" s="16" t="inlineStr">
        <is>
          <t>Standard 1</t>
        </is>
      </c>
      <c r="H7" s="16" t="inlineStr">
        <is>
          <t>Shaker</t>
        </is>
      </c>
      <c r="I7" s="16" t="inlineStr">
        <is>
          <t>Standard upper</t>
        </is>
      </c>
    </row>
    <row r="8">
      <c r="A8" s="16" t="inlineStr">
        <is>
          <t>W36</t>
        </is>
      </c>
      <c r="B8" s="16" t="inlineStr">
        <is>
          <t>Wall Cabinet 36W x 30H</t>
        </is>
      </c>
      <c r="C8" s="16" t="inlineStr">
        <is>
          <t>Upper</t>
        </is>
      </c>
      <c r="D8" s="17" t="n">
        <v>36</v>
      </c>
      <c r="E8" s="17" t="n">
        <v>30</v>
      </c>
      <c r="F8" s="17" t="n">
        <v>13</v>
      </c>
      <c r="G8" s="16" t="inlineStr">
        <is>
          <t>Standard 1</t>
        </is>
      </c>
      <c r="H8" s="16" t="inlineStr">
        <is>
          <t>Shaker</t>
        </is>
      </c>
      <c r="I8" s="16" t="inlineStr">
        <is>
          <t>Standard upper</t>
        </is>
      </c>
    </row>
    <row r="9">
      <c r="A9" s="16" t="inlineStr">
        <is>
          <t>WC24</t>
        </is>
      </c>
      <c r="B9" s="16" t="inlineStr">
        <is>
          <t>Corner Wall Cabinet 24W</t>
        </is>
      </c>
      <c r="C9" s="16" t="inlineStr">
        <is>
          <t>Upper</t>
        </is>
      </c>
      <c r="D9" s="17" t="n">
        <v>24</v>
      </c>
      <c r="E9" s="17" t="n">
        <v>30</v>
      </c>
      <c r="F9" s="17" t="n">
        <v>13</v>
      </c>
      <c r="G9" s="16" t="inlineStr">
        <is>
          <t>Standard 1</t>
        </is>
      </c>
      <c r="H9" s="16" t="inlineStr">
        <is>
          <t>Shaker</t>
        </is>
      </c>
      <c r="I9" s="16" t="inlineStr">
        <is>
          <t>Blind corner</t>
        </is>
      </c>
    </row>
    <row r="10">
      <c r="A10" s="16" t="inlineStr">
        <is>
          <t>B12</t>
        </is>
      </c>
      <c r="B10" s="16" t="inlineStr">
        <is>
          <t>Base Cabinet 12W</t>
        </is>
      </c>
      <c r="C10" s="16" t="inlineStr">
        <is>
          <t>Lower</t>
        </is>
      </c>
      <c r="D10" s="17" t="n">
        <v>12</v>
      </c>
      <c r="E10" s="17" t="n">
        <v>34.5</v>
      </c>
      <c r="F10" s="17" t="n">
        <v>24</v>
      </c>
      <c r="G10" s="16" t="inlineStr">
        <is>
          <t>Standard 1</t>
        </is>
      </c>
      <c r="H10" s="16" t="inlineStr">
        <is>
          <t>Shaker</t>
        </is>
      </c>
      <c r="I10" s="16" t="inlineStr"/>
    </row>
    <row r="11">
      <c r="A11" s="16" t="inlineStr">
        <is>
          <t>B18</t>
        </is>
      </c>
      <c r="B11" s="16" t="inlineStr">
        <is>
          <t>Base Cabinet 18W</t>
        </is>
      </c>
      <c r="C11" s="16" t="inlineStr">
        <is>
          <t>Lower</t>
        </is>
      </c>
      <c r="D11" s="17" t="n">
        <v>18</v>
      </c>
      <c r="E11" s="17" t="n">
        <v>34.5</v>
      </c>
      <c r="F11" s="17" t="n">
        <v>24</v>
      </c>
      <c r="G11" s="16" t="inlineStr">
        <is>
          <t>Standard 1</t>
        </is>
      </c>
      <c r="H11" s="16" t="inlineStr">
        <is>
          <t>Shaker</t>
        </is>
      </c>
      <c r="I11" s="16" t="inlineStr"/>
    </row>
    <row r="12">
      <c r="A12" s="16" t="inlineStr">
        <is>
          <t>B24</t>
        </is>
      </c>
      <c r="B12" s="16" t="inlineStr">
        <is>
          <t>Base Cabinet 24W</t>
        </is>
      </c>
      <c r="C12" s="16" t="inlineStr">
        <is>
          <t>Lower</t>
        </is>
      </c>
      <c r="D12" s="17" t="n">
        <v>24</v>
      </c>
      <c r="E12" s="17" t="n">
        <v>34.5</v>
      </c>
      <c r="F12" s="17" t="n">
        <v>24</v>
      </c>
      <c r="G12" s="16" t="inlineStr">
        <is>
          <t>Standard 1</t>
        </is>
      </c>
      <c r="H12" s="16" t="inlineStr">
        <is>
          <t>Shaker</t>
        </is>
      </c>
      <c r="I12" s="16" t="inlineStr"/>
    </row>
    <row r="13">
      <c r="A13" s="16" t="inlineStr">
        <is>
          <t>B30</t>
        </is>
      </c>
      <c r="B13" s="16" t="inlineStr">
        <is>
          <t>Base Cabinet 30W</t>
        </is>
      </c>
      <c r="C13" s="16" t="inlineStr">
        <is>
          <t>Lower</t>
        </is>
      </c>
      <c r="D13" s="17" t="n">
        <v>30</v>
      </c>
      <c r="E13" s="17" t="n">
        <v>34.5</v>
      </c>
      <c r="F13" s="17" t="n">
        <v>24</v>
      </c>
      <c r="G13" s="16" t="inlineStr">
        <is>
          <t>Standard 1</t>
        </is>
      </c>
      <c r="H13" s="16" t="inlineStr">
        <is>
          <t>Shaker</t>
        </is>
      </c>
      <c r="I13" s="16" t="inlineStr"/>
    </row>
    <row r="14">
      <c r="A14" s="16" t="inlineStr">
        <is>
          <t>B36</t>
        </is>
      </c>
      <c r="B14" s="16" t="inlineStr">
        <is>
          <t>Base Cabinet 36W</t>
        </is>
      </c>
      <c r="C14" s="16" t="inlineStr">
        <is>
          <t>Lower</t>
        </is>
      </c>
      <c r="D14" s="17" t="n">
        <v>36</v>
      </c>
      <c r="E14" s="17" t="n">
        <v>34.5</v>
      </c>
      <c r="F14" s="17" t="n">
        <v>24</v>
      </c>
      <c r="G14" s="16" t="inlineStr">
        <is>
          <t>Standard 1</t>
        </is>
      </c>
      <c r="H14" s="16" t="inlineStr">
        <is>
          <t>Shaker</t>
        </is>
      </c>
      <c r="I14" s="16" t="inlineStr"/>
    </row>
    <row r="15">
      <c r="A15" s="16" t="inlineStr">
        <is>
          <t>SB36</t>
        </is>
      </c>
      <c r="B15" s="16" t="inlineStr">
        <is>
          <t>Sink Base Cabinet 36W</t>
        </is>
      </c>
      <c r="C15" s="16" t="inlineStr">
        <is>
          <t>Lower</t>
        </is>
      </c>
      <c r="D15" s="17" t="n">
        <v>36</v>
      </c>
      <c r="E15" s="17" t="n">
        <v>34.5</v>
      </c>
      <c r="F15" s="17" t="n">
        <v>24</v>
      </c>
      <c r="G15" s="16" t="inlineStr">
        <is>
          <t>Standard 1</t>
        </is>
      </c>
      <c r="H15" s="16" t="inlineStr">
        <is>
          <t>Shaker</t>
        </is>
      </c>
      <c r="I15" s="16" t="inlineStr">
        <is>
          <t>Sink base</t>
        </is>
      </c>
    </row>
    <row r="16">
      <c r="A16" s="16" t="inlineStr">
        <is>
          <t>BC36</t>
        </is>
      </c>
      <c r="B16" s="16" t="inlineStr">
        <is>
          <t>Corner Base Cabinet 36W</t>
        </is>
      </c>
      <c r="C16" s="16" t="inlineStr">
        <is>
          <t>Lower</t>
        </is>
      </c>
      <c r="D16" s="17" t="n">
        <v>36</v>
      </c>
      <c r="E16" s="17" t="n">
        <v>34.5</v>
      </c>
      <c r="F16" s="17" t="n">
        <v>24</v>
      </c>
      <c r="G16" s="16" t="inlineStr">
        <is>
          <t>Standard 1</t>
        </is>
      </c>
      <c r="H16" s="16" t="inlineStr">
        <is>
          <t>Shaker</t>
        </is>
      </c>
      <c r="I16" s="16" t="inlineStr">
        <is>
          <t>Lazy susan</t>
        </is>
      </c>
    </row>
    <row r="17">
      <c r="A17" s="16" t="inlineStr">
        <is>
          <t>T15</t>
        </is>
      </c>
      <c r="B17" s="16" t="inlineStr">
        <is>
          <t>Tall Pantry 15W x 84H</t>
        </is>
      </c>
      <c r="C17" s="16" t="inlineStr">
        <is>
          <t>Tall</t>
        </is>
      </c>
      <c r="D17" s="17" t="n">
        <v>15</v>
      </c>
      <c r="E17" s="17" t="n">
        <v>84</v>
      </c>
      <c r="F17" s="17" t="n">
        <v>24</v>
      </c>
      <c r="G17" s="16" t="inlineStr">
        <is>
          <t>Standard 1</t>
        </is>
      </c>
      <c r="H17" s="16" t="inlineStr">
        <is>
          <t>Shaker</t>
        </is>
      </c>
      <c r="I17" s="16" t="inlineStr">
        <is>
          <t>Heritage spec</t>
        </is>
      </c>
    </row>
    <row r="18">
      <c r="A18" s="16" t="inlineStr">
        <is>
          <t>T18</t>
        </is>
      </c>
      <c r="B18" s="16" t="inlineStr">
        <is>
          <t>Tall Pantry 18W x 84H</t>
        </is>
      </c>
      <c r="C18" s="16" t="inlineStr">
        <is>
          <t>Tall</t>
        </is>
      </c>
      <c r="D18" s="17" t="n">
        <v>18</v>
      </c>
      <c r="E18" s="17" t="n">
        <v>84</v>
      </c>
      <c r="F18" s="17" t="n">
        <v>24</v>
      </c>
      <c r="G18" s="16" t="inlineStr">
        <is>
          <t>Standard 1</t>
        </is>
      </c>
      <c r="H18" s="16" t="inlineStr">
        <is>
          <t>Shaker</t>
        </is>
      </c>
      <c r="I18" s="16" t="inlineStr"/>
    </row>
    <row r="19">
      <c r="A19" s="16" t="inlineStr">
        <is>
          <t>T24</t>
        </is>
      </c>
      <c r="B19" s="16" t="inlineStr">
        <is>
          <t>Tall Pantry 24W x 84H</t>
        </is>
      </c>
      <c r="C19" s="16" t="inlineStr">
        <is>
          <t>Tall</t>
        </is>
      </c>
      <c r="D19" s="17" t="n">
        <v>24</v>
      </c>
      <c r="E19" s="17" t="n">
        <v>84</v>
      </c>
      <c r="F19" s="17" t="n">
        <v>24</v>
      </c>
      <c r="G19" s="16" t="inlineStr">
        <is>
          <t>Standard 1</t>
        </is>
      </c>
      <c r="H19" s="16" t="inlineStr">
        <is>
          <t>Shaker</t>
        </is>
      </c>
      <c r="I19" s="16" t="inlineStr"/>
    </row>
    <row r="20">
      <c r="A20" s="16" t="inlineStr">
        <is>
          <t>VAN24</t>
        </is>
      </c>
      <c r="B20" s="16" t="inlineStr">
        <is>
          <t>Bath Vanity 24W</t>
        </is>
      </c>
      <c r="C20" s="16" t="inlineStr">
        <is>
          <t>Vanity</t>
        </is>
      </c>
      <c r="D20" s="17" t="n">
        <v>24</v>
      </c>
      <c r="E20" s="17" t="n">
        <v>34.5</v>
      </c>
      <c r="F20" s="17" t="n">
        <v>21</v>
      </c>
      <c r="G20" s="16" t="inlineStr">
        <is>
          <t>Standard 1</t>
        </is>
      </c>
      <c r="H20" s="16" t="inlineStr">
        <is>
          <t>Shaker</t>
        </is>
      </c>
      <c r="I20" s="16" t="inlineStr">
        <is>
          <t>Single sink</t>
        </is>
      </c>
    </row>
    <row r="21">
      <c r="A21" s="16" t="inlineStr">
        <is>
          <t>VAN30</t>
        </is>
      </c>
      <c r="B21" s="16" t="inlineStr">
        <is>
          <t>Bath Vanity 30W</t>
        </is>
      </c>
      <c r="C21" s="16" t="inlineStr">
        <is>
          <t>Vanity</t>
        </is>
      </c>
      <c r="D21" s="17" t="n">
        <v>30</v>
      </c>
      <c r="E21" s="17" t="n">
        <v>34.5</v>
      </c>
      <c r="F21" s="17" t="n">
        <v>21</v>
      </c>
      <c r="G21" s="16" t="inlineStr">
        <is>
          <t>Standard 1</t>
        </is>
      </c>
      <c r="H21" s="16" t="inlineStr">
        <is>
          <t>Shaker</t>
        </is>
      </c>
      <c r="I21" s="16" t="inlineStr">
        <is>
          <t>Single sink</t>
        </is>
      </c>
    </row>
    <row r="22">
      <c r="A22" s="16" t="inlineStr">
        <is>
          <t>VAN36</t>
        </is>
      </c>
      <c r="B22" s="16" t="inlineStr">
        <is>
          <t>Bath Vanity 36W</t>
        </is>
      </c>
      <c r="C22" s="16" t="inlineStr">
        <is>
          <t>Vanity</t>
        </is>
      </c>
      <c r="D22" s="17" t="n">
        <v>36</v>
      </c>
      <c r="E22" s="17" t="n">
        <v>34.5</v>
      </c>
      <c r="F22" s="17" t="n">
        <v>21</v>
      </c>
      <c r="G22" s="16" t="inlineStr">
        <is>
          <t>Standard 1</t>
        </is>
      </c>
      <c r="H22" s="16" t="inlineStr">
        <is>
          <t>Shaker</t>
        </is>
      </c>
      <c r="I22" s="16" t="inlineStr">
        <is>
          <t>Single sink</t>
        </is>
      </c>
    </row>
    <row r="23">
      <c r="A23" s="16" t="inlineStr">
        <is>
          <t>VAN48</t>
        </is>
      </c>
      <c r="B23" s="16" t="inlineStr">
        <is>
          <t>Bath Vanity 48W</t>
        </is>
      </c>
      <c r="C23" s="16" t="inlineStr">
        <is>
          <t>Vanity</t>
        </is>
      </c>
      <c r="D23" s="17" t="n">
        <v>48</v>
      </c>
      <c r="E23" s="17" t="n">
        <v>34.5</v>
      </c>
      <c r="F23" s="17" t="n">
        <v>21</v>
      </c>
      <c r="G23" s="16" t="inlineStr">
        <is>
          <t>Standard 1</t>
        </is>
      </c>
      <c r="H23" s="16" t="inlineStr">
        <is>
          <t>Shaker</t>
        </is>
      </c>
      <c r="I23" s="16" t="inlineStr">
        <is>
          <t>Double sink</t>
        </is>
      </c>
    </row>
    <row r="24">
      <c r="A24" s="16" t="inlineStr">
        <is>
          <t>VAN60</t>
        </is>
      </c>
      <c r="B24" s="16" t="inlineStr">
        <is>
          <t>Bath Vanity 60W</t>
        </is>
      </c>
      <c r="C24" s="16" t="inlineStr">
        <is>
          <t>Vanity</t>
        </is>
      </c>
      <c r="D24" s="17" t="n">
        <v>60</v>
      </c>
      <c r="E24" s="17" t="n">
        <v>34.5</v>
      </c>
      <c r="F24" s="17" t="n">
        <v>21</v>
      </c>
      <c r="G24" s="16" t="inlineStr">
        <is>
          <t>Standard 1</t>
        </is>
      </c>
      <c r="H24" s="16" t="inlineStr">
        <is>
          <t>Shaker</t>
        </is>
      </c>
      <c r="I24" s="16" t="inlineStr">
        <is>
          <t>Double sink</t>
        </is>
      </c>
    </row>
    <row r="25">
      <c r="A25" s="16" t="inlineStr">
        <is>
          <t>MED24</t>
        </is>
      </c>
      <c r="B25" s="16" t="inlineStr">
        <is>
          <t>Medicine Cabinet 24W</t>
        </is>
      </c>
      <c r="C25" s="16" t="inlineStr">
        <is>
          <t>Bath</t>
        </is>
      </c>
      <c r="D25" s="17" t="n">
        <v>24</v>
      </c>
      <c r="E25" s="17" t="n">
        <v>30</v>
      </c>
      <c r="F25" s="17" t="n">
        <v>4</v>
      </c>
      <c r="G25" s="16" t="inlineStr">
        <is>
          <t>Standard 1</t>
        </is>
      </c>
      <c r="H25" s="16" t="inlineStr">
        <is>
          <t>Mirror</t>
        </is>
      </c>
      <c r="I25" s="16" t="inlineStr"/>
    </row>
    <row r="26">
      <c r="A26" s="16" t="inlineStr">
        <is>
          <t>MED30</t>
        </is>
      </c>
      <c r="B26" s="16" t="inlineStr">
        <is>
          <t>Medicine Cabinet 30W</t>
        </is>
      </c>
      <c r="C26" s="16" t="inlineStr">
        <is>
          <t>Bath</t>
        </is>
      </c>
      <c r="D26" s="17" t="n">
        <v>30</v>
      </c>
      <c r="E26" s="17" t="n">
        <v>30</v>
      </c>
      <c r="F26" s="17" t="n">
        <v>4</v>
      </c>
      <c r="G26" s="16" t="inlineStr">
        <is>
          <t>Standard 1</t>
        </is>
      </c>
      <c r="H26" s="16" t="inlineStr">
        <is>
          <t>Mirror</t>
        </is>
      </c>
      <c r="I26" s="16" t="inlineStr"/>
    </row>
    <row r="27">
      <c r="A27" s="16" t="inlineStr">
        <is>
          <t>MED36</t>
        </is>
      </c>
      <c r="B27" s="16" t="inlineStr">
        <is>
          <t>Medicine Cabinet 36W</t>
        </is>
      </c>
      <c r="C27" s="16" t="inlineStr">
        <is>
          <t>Bath</t>
        </is>
      </c>
      <c r="D27" s="17" t="n">
        <v>36</v>
      </c>
      <c r="E27" s="17" t="n">
        <v>30</v>
      </c>
      <c r="F27" s="17" t="n">
        <v>4</v>
      </c>
      <c r="G27" s="16" t="inlineStr">
        <is>
          <t>Standard 1</t>
        </is>
      </c>
      <c r="H27" s="16" t="inlineStr">
        <is>
          <t>Mirror</t>
        </is>
      </c>
      <c r="I27" s="16" t="inlineStr"/>
    </row>
    <row r="28">
      <c r="A28" s="16" t="inlineStr">
        <is>
          <t>MED60</t>
        </is>
      </c>
      <c r="B28" s="16" t="inlineStr">
        <is>
          <t>Medicine Cabinet 60W</t>
        </is>
      </c>
      <c r="C28" s="16" t="inlineStr">
        <is>
          <t>Bath</t>
        </is>
      </c>
      <c r="D28" s="17" t="n">
        <v>60</v>
      </c>
      <c r="E28" s="17" t="n">
        <v>30</v>
      </c>
      <c r="F28" s="17" t="n">
        <v>4</v>
      </c>
      <c r="G28" s="16" t="inlineStr">
        <is>
          <t>Standard 1</t>
        </is>
      </c>
      <c r="H28" s="16" t="inlineStr">
        <is>
          <t>Mirror</t>
        </is>
      </c>
      <c r="I28" s="16" t="inlineStr"/>
    </row>
    <row r="29">
      <c r="A29" s="16" t="inlineStr">
        <is>
          <t>LIN18</t>
        </is>
      </c>
      <c r="B29" s="16" t="inlineStr">
        <is>
          <t>Linen Cabinet 18W x 84H</t>
        </is>
      </c>
      <c r="C29" s="16" t="inlineStr">
        <is>
          <t>Bath</t>
        </is>
      </c>
      <c r="D29" s="17" t="n">
        <v>18</v>
      </c>
      <c r="E29" s="17" t="n">
        <v>84</v>
      </c>
      <c r="F29" s="17" t="n">
        <v>18</v>
      </c>
      <c r="G29" s="16" t="inlineStr">
        <is>
          <t>Standard 1</t>
        </is>
      </c>
      <c r="H29" s="16" t="inlineStr">
        <is>
          <t>Shaker</t>
        </is>
      </c>
      <c r="I29" s="16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7"/>
  <sheetViews>
    <sheetView workbookViewId="0">
      <selection activeCell="A1" sqref="A1"/>
    </sheetView>
  </sheetViews>
  <sheetFormatPr baseColWidth="8" defaultRowHeight="15"/>
  <cols>
    <col width="5" customWidth="1" min="1" max="1"/>
    <col width="35" customWidth="1" min="2" max="2"/>
    <col width="8" customWidth="1" min="3" max="3"/>
    <col width="35" customWidth="1" min="4" max="4"/>
    <col width="18" customWidth="1" min="5" max="5"/>
    <col width="20" customWidth="1" min="6" max="6"/>
  </cols>
  <sheetData>
    <row r="1">
      <c r="A1" s="1" t="inlineStr">
        <is>
          <t>JOB COSTING — CASA FAMILIA TOTAL ESTIMATE</t>
        </is>
      </c>
    </row>
    <row r="2">
      <c r="A2" s="2" t="inlineStr">
        <is>
          <t>Atlantic Pacific Communities  |  GP Target: 35%</t>
        </is>
      </c>
    </row>
    <row r="4">
      <c r="A4" s="3" t="inlineStr">
        <is>
          <t>A. QUANTITIES</t>
        </is>
      </c>
    </row>
    <row r="5">
      <c r="B5" s="5" t="inlineStr">
        <is>
          <t>Total Cabinet Count:</t>
        </is>
      </c>
      <c r="E5" s="3" t="n">
        <v>1800</v>
      </c>
      <c r="F5" s="5" t="inlineStr">
        <is>
          <t>units</t>
        </is>
      </c>
    </row>
    <row r="6">
      <c r="B6" s="5" t="inlineStr">
        <is>
          <t>Containers Required:</t>
        </is>
      </c>
      <c r="E6" s="3" t="n">
        <v>9</v>
      </c>
      <c r="F6" s="5" t="inlineStr">
        <is>
          <t>containers (220 cabs each)</t>
        </is>
      </c>
    </row>
    <row r="8">
      <c r="A8" s="3" t="inlineStr">
        <is>
          <t>B. MATERIAL COST</t>
        </is>
      </c>
    </row>
    <row r="9">
      <c r="B9" s="5" t="inlineStr">
        <is>
          <t>Material Cost (from price list)</t>
        </is>
      </c>
      <c r="E9" s="18" t="n">
        <v>118088.965</v>
      </c>
    </row>
    <row r="11">
      <c r="A11" s="3" t="inlineStr">
        <is>
          <t>C. PROJECT COSTS</t>
        </is>
      </c>
    </row>
    <row r="12">
      <c r="A12" s="19" t="inlineStr">
        <is>
          <t>#</t>
        </is>
      </c>
      <c r="B12" s="19" t="inlineStr">
        <is>
          <t>Cost Item</t>
        </is>
      </c>
      <c r="C12" s="20" t="n"/>
      <c r="D12" s="19" t="inlineStr">
        <is>
          <t>Basis</t>
        </is>
      </c>
      <c r="E12" s="19" t="inlineStr">
        <is>
          <t>Amount ($)</t>
        </is>
      </c>
    </row>
    <row r="13">
      <c r="A13" s="21" t="inlineStr">
        <is>
          <t>1</t>
        </is>
      </c>
      <c r="B13" s="21" t="inlineStr">
        <is>
          <t>Material Cost (cabinets)</t>
        </is>
      </c>
      <c r="C13" s="22" t="n"/>
      <c r="D13" s="23" t="inlineStr">
        <is>
          <t>Invoice / Price List</t>
        </is>
      </c>
      <c r="E13" s="24" t="n">
        <v>118088.965</v>
      </c>
    </row>
    <row r="14">
      <c r="A14" s="21" t="inlineStr">
        <is>
          <t>2</t>
        </is>
      </c>
      <c r="B14" s="21" t="inlineStr">
        <is>
          <t>Local Use Tax</t>
        </is>
      </c>
      <c r="C14" s="22" t="n"/>
      <c r="D14" s="23" t="inlineStr">
        <is>
          <t>7.5% of Material</t>
        </is>
      </c>
      <c r="E14" s="24" t="n">
        <v>8856.672375000002</v>
      </c>
    </row>
    <row r="15">
      <c r="A15" s="21" t="inlineStr">
        <is>
          <t>3</t>
        </is>
      </c>
      <c r="B15" s="21" t="inlineStr">
        <is>
          <t>Ocean Freight / Shipping</t>
        </is>
      </c>
      <c r="C15" s="22" t="n"/>
      <c r="D15" s="23" t="inlineStr">
        <is>
          <t>$4,500 × 9 containers</t>
        </is>
      </c>
      <c r="E15" s="24" t="n">
        <v>40500</v>
      </c>
    </row>
    <row r="16">
      <c r="A16" s="21" t="inlineStr">
        <is>
          <t>4</t>
        </is>
      </c>
      <c r="B16" s="21" t="inlineStr">
        <is>
          <t>Inland Delivery</t>
        </is>
      </c>
      <c r="C16" s="22" t="n"/>
      <c r="D16" s="23" t="inlineStr">
        <is>
          <t>Fixed</t>
        </is>
      </c>
      <c r="E16" s="24" t="n">
        <v>1200</v>
      </c>
    </row>
    <row r="17">
      <c r="A17" s="21" t="inlineStr">
        <is>
          <t>5</t>
        </is>
      </c>
      <c r="B17" s="21" t="inlineStr">
        <is>
          <t>Installation</t>
        </is>
      </c>
      <c r="C17" s="22" t="n"/>
      <c r="D17" s="23" t="inlineStr">
        <is>
          <t>$85/cabinet × 1800 cabs</t>
        </is>
      </c>
      <c r="E17" s="24" t="n">
        <v>153000</v>
      </c>
    </row>
    <row r="18">
      <c r="A18" s="21" t="inlineStr">
        <is>
          <t>6</t>
        </is>
      </c>
      <c r="B18" s="21" t="inlineStr">
        <is>
          <t>Warehousing</t>
        </is>
      </c>
      <c r="C18" s="22" t="n"/>
      <c r="D18" s="23" t="inlineStr">
        <is>
          <t>2.0% of Material</t>
        </is>
      </c>
      <c r="E18" s="24" t="n">
        <v>2361.779300000001</v>
      </c>
    </row>
    <row r="19">
      <c r="A19" s="21" t="inlineStr">
        <is>
          <t>7</t>
        </is>
      </c>
      <c r="B19" s="21" t="inlineStr">
        <is>
          <t>Material Protection</t>
        </is>
      </c>
      <c r="C19" s="22" t="n"/>
      <c r="D19" s="23" t="inlineStr">
        <is>
          <t>0.5% of Material</t>
        </is>
      </c>
      <c r="E19" s="24" t="n">
        <v>590.4448250000002</v>
      </c>
    </row>
    <row r="20">
      <c r="A20" s="21" t="inlineStr">
        <is>
          <t>8</t>
        </is>
      </c>
      <c r="B20" s="21" t="inlineStr">
        <is>
          <t>Insurance</t>
        </is>
      </c>
      <c r="C20" s="22" t="n"/>
      <c r="D20" s="23" t="inlineStr">
        <is>
          <t>0.8% of Material</t>
        </is>
      </c>
      <c r="E20" s="24" t="n">
        <v>944.7117200000002</v>
      </c>
    </row>
    <row r="21">
      <c r="A21" s="21" t="inlineStr">
        <is>
          <t>9</t>
        </is>
      </c>
      <c r="B21" s="21" t="inlineStr">
        <is>
          <t>Miscellaneous Allowance</t>
        </is>
      </c>
      <c r="C21" s="22" t="n"/>
      <c r="D21" s="23" t="inlineStr">
        <is>
          <t>Fixed</t>
        </is>
      </c>
      <c r="E21" s="24" t="n">
        <v>500</v>
      </c>
    </row>
    <row r="22">
      <c r="A22" s="13" t="inlineStr">
        <is>
          <t>PRE-MARGIN SUBTOTAL</t>
        </is>
      </c>
      <c r="B22" s="25" t="n"/>
      <c r="C22" s="25" t="n"/>
      <c r="D22" s="25" t="n"/>
      <c r="E22" s="26" t="n">
        <v>326042.5732200001</v>
      </c>
    </row>
    <row r="24">
      <c r="A24" s="3" t="inlineStr">
        <is>
          <t>D. MARGIN &amp; OVERHEAD</t>
        </is>
      </c>
    </row>
    <row r="25">
      <c r="A25" s="21" t="inlineStr">
        <is>
          <t>10</t>
        </is>
      </c>
      <c r="B25" s="21" t="inlineStr">
        <is>
          <t>Commission</t>
        </is>
      </c>
      <c r="C25" s="22" t="n"/>
      <c r="D25" s="23" t="inlineStr">
        <is>
          <t>5.0% of Selling Price</t>
        </is>
      </c>
      <c r="E25" s="27" t="n">
        <v>27866.88660000001</v>
      </c>
    </row>
    <row r="26">
      <c r="A26" s="21" t="inlineStr">
        <is>
          <t>11</t>
        </is>
      </c>
      <c r="B26" s="21" t="inlineStr">
        <is>
          <t>Bond</t>
        </is>
      </c>
      <c r="C26" s="22" t="n"/>
      <c r="D26" s="23" t="inlineStr">
        <is>
          <t>1.5% of Selling Price</t>
        </is>
      </c>
      <c r="E26" s="27" t="n">
        <v>8360.065980000003</v>
      </c>
    </row>
    <row r="27">
      <c r="A27" s="21" t="inlineStr">
        <is>
          <t>12</t>
        </is>
      </c>
      <c r="B27" s="21" t="inlineStr">
        <is>
          <t>Gross Profit</t>
        </is>
      </c>
      <c r="C27" s="22" t="n"/>
      <c r="D27" s="23" t="inlineStr">
        <is>
          <t>35.0% of Selling Price</t>
        </is>
      </c>
      <c r="E27" s="27" t="n">
        <v>195068.2062</v>
      </c>
    </row>
    <row r="30">
      <c r="A30" s="28" t="inlineStr">
        <is>
          <t>E. SELLING PRICE (TOTAL PROJECT)</t>
        </is>
      </c>
      <c r="E30" s="29" t="n">
        <v>557337.7320000002</v>
      </c>
    </row>
    <row r="32">
      <c r="A32" s="3" t="inlineStr">
        <is>
          <t>F. VERIFICATION</t>
        </is>
      </c>
    </row>
    <row r="33">
      <c r="B33" s="3" t="inlineStr">
        <is>
          <t>Gross Profit Amount:</t>
        </is>
      </c>
      <c r="E33" s="30" t="n">
        <v>195068.2062</v>
      </c>
    </row>
    <row r="34">
      <c r="B34" s="3" t="inlineStr">
        <is>
          <t>Gross Profit %:</t>
        </is>
      </c>
      <c r="E34" s="31" t="n">
        <v>0.35</v>
      </c>
    </row>
    <row r="35">
      <c r="B35" s="3" t="inlineStr">
        <is>
          <t>Total Cost:</t>
        </is>
      </c>
      <c r="E35" s="30" t="n">
        <v>362269.5258000002</v>
      </c>
    </row>
    <row r="36">
      <c r="B36" s="3" t="inlineStr">
        <is>
          <t>Cost per Cabinet:</t>
        </is>
      </c>
      <c r="E36" s="30" t="n">
        <v>201.2608476666668</v>
      </c>
    </row>
    <row r="37">
      <c r="B37" s="3" t="inlineStr">
        <is>
          <t>Sell per Cabinet:</t>
        </is>
      </c>
      <c r="E37" s="30" t="n">
        <v>309.6320733333334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20"/>
  <sheetViews>
    <sheetView workbookViewId="0">
      <selection activeCell="A1" sqref="A1"/>
    </sheetView>
  </sheetViews>
  <sheetFormatPr baseColWidth="8" defaultRowHeight="15"/>
  <cols>
    <col width="52" customWidth="1" min="1" max="1"/>
    <col width="46" customWidth="1" min="2" max="2"/>
    <col width="34" customWidth="1" min="3" max="3"/>
    <col width="18" customWidth="1" min="4" max="4"/>
    <col width="14" customWidth="1" min="5" max="5"/>
    <col width="17" customWidth="1" min="6" max="6"/>
    <col width="10" customWidth="1" min="7" max="7"/>
    <col width="10" customWidth="1" min="8" max="8"/>
    <col width="21" customWidth="1" min="9" max="9"/>
    <col width="32" customWidth="1" min="10" max="10"/>
  </cols>
  <sheetData>
    <row r="1">
      <c r="A1" s="1" t="inlineStr">
        <is>
          <t>CABINET SHOP DRAWING — UNIT SCHEDULE</t>
        </is>
      </c>
    </row>
    <row r="2">
      <c r="A2" s="2" t="inlineStr">
        <is>
          <t>Atlantic Pacific Communities  |  Corwil Architects</t>
        </is>
      </c>
    </row>
    <row r="3"/>
    <row r="4">
      <c r="A4" s="3" t="inlineStr">
        <is>
          <t>PROJECT:</t>
        </is>
      </c>
      <c r="B4" s="5" t="inlineStr">
        <is>
          <t>CASA FAMILIA</t>
        </is>
      </c>
      <c r="E4" s="3" t="inlineStr">
        <is>
          <t>UNIT TYPE:</t>
        </is>
      </c>
      <c r="F4" s="3" t="inlineStr">
        <is>
          <t>A1</t>
        </is>
      </c>
      <c r="I4" s="3" t="inlineStr">
        <is>
          <t>DATE:</t>
        </is>
      </c>
      <c r="J4" s="5">
        <f>TODAY()</f>
        <v/>
      </c>
    </row>
    <row r="5">
      <c r="A5" s="3" t="inlineStr">
        <is>
          <t>ADDRESS:</t>
        </is>
      </c>
      <c r="B5" s="5" t="inlineStr">
        <is>
          <t>10951 SW 84th St., Miami-Dade, Florida 33173</t>
        </is>
      </c>
      <c r="E5" s="3" t="inlineStr">
        <is>
          <t>DESCRIPTION:</t>
        </is>
      </c>
      <c r="F5" s="5" t="inlineStr">
        <is>
          <t>FHA Type B Unit</t>
        </is>
      </c>
      <c r="I5" s="3" t="inlineStr">
        <is>
          <t>PREPARED BY:</t>
        </is>
      </c>
      <c r="J5" s="5" t="inlineStr">
        <is>
          <t>AI Estimation System</t>
        </is>
      </c>
    </row>
    <row r="6">
      <c r="A6" s="3" t="inlineStr">
        <is>
          <t>DRAWING REF:</t>
        </is>
      </c>
      <c r="B6" s="5" t="inlineStr">
        <is>
          <t>CASA FAMILIA Unit Plans</t>
        </is>
      </c>
      <c r="E6" s="3" t="inlineStr">
        <is>
          <t>FINISH TIER:</t>
        </is>
      </c>
      <c r="F6" s="5" t="inlineStr">
        <is>
          <t>Standard 1</t>
        </is>
      </c>
    </row>
    <row r="7"/>
    <row r="8">
      <c r="A8" s="32" t="inlineStr">
        <is>
          <t>SECTION 1 — KITCHEN CABINETS</t>
        </is>
      </c>
    </row>
    <row r="9"/>
    <row r="10">
      <c r="A10" s="9" t="inlineStr">
        <is>
          <t>Item</t>
        </is>
      </c>
      <c r="B10" s="9" t="inlineStr">
        <is>
          <t>Cabinet Code</t>
        </is>
      </c>
      <c r="C10" s="9" t="inlineStr">
        <is>
          <t>Description</t>
        </is>
      </c>
      <c r="D10" s="9" t="inlineStr">
        <is>
          <t>Type</t>
        </is>
      </c>
      <c r="E10" s="9" t="inlineStr">
        <is>
          <t>W (in)</t>
        </is>
      </c>
      <c r="F10" s="9" t="inlineStr">
        <is>
          <t>H (in)</t>
        </is>
      </c>
      <c r="G10" s="9" t="inlineStr">
        <is>
          <t>D (in)</t>
        </is>
      </c>
      <c r="H10" s="9" t="inlineStr">
        <is>
          <t>Qty</t>
        </is>
      </c>
      <c r="I10" s="9" t="inlineStr">
        <is>
          <t>Elev. Ref.</t>
        </is>
      </c>
      <c r="J10" s="9" t="inlineStr">
        <is>
          <t>Location Note</t>
        </is>
      </c>
    </row>
    <row r="11">
      <c r="A11" s="16" t="n">
        <v>1</v>
      </c>
      <c r="B11" s="10" t="inlineStr">
        <is>
          <t>W30-12</t>
        </is>
      </c>
      <c r="C11" s="16" t="inlineStr">
        <is>
          <t>upper_wall 30.0"W × 11.8"H</t>
        </is>
      </c>
      <c r="D11" s="16" t="inlineStr">
        <is>
          <t>Upper Wall</t>
        </is>
      </c>
      <c r="E11" s="17" t="n">
        <v>30</v>
      </c>
      <c r="F11" s="17" t="n">
        <v>11.8</v>
      </c>
      <c r="G11" s="17" t="n">
        <v>13</v>
      </c>
      <c r="H11" s="17" t="n">
        <v>1</v>
      </c>
      <c r="I11" s="16" t="inlineStr">
        <is>
          <t>ELEVATION A</t>
        </is>
      </c>
      <c r="J11" s="16" t="inlineStr">
        <is>
          <t>Left of sink, above countertop</t>
        </is>
      </c>
    </row>
    <row r="12">
      <c r="A12" s="16" t="n">
        <v>2</v>
      </c>
      <c r="B12" s="10" t="inlineStr">
        <is>
          <t>W30-12</t>
        </is>
      </c>
      <c r="C12" s="16" t="inlineStr">
        <is>
          <t>upper_wall 30.0"W × 11.8"H</t>
        </is>
      </c>
      <c r="D12" s="16" t="inlineStr">
        <is>
          <t>Upper Wall</t>
        </is>
      </c>
      <c r="E12" s="17" t="n">
        <v>30</v>
      </c>
      <c r="F12" s="17" t="n">
        <v>11.8</v>
      </c>
      <c r="G12" s="17" t="n">
        <v>13</v>
      </c>
      <c r="H12" s="17" t="n">
        <v>1</v>
      </c>
      <c r="I12" s="16" t="inlineStr">
        <is>
          <t>ELEVATION A</t>
        </is>
      </c>
      <c r="J12" s="16" t="inlineStr">
        <is>
          <t>Center of wall, above countert</t>
        </is>
      </c>
    </row>
    <row r="13">
      <c r="A13" s="16" t="n">
        <v>3</v>
      </c>
      <c r="B13" s="10" t="inlineStr">
        <is>
          <t>B24</t>
        </is>
      </c>
      <c r="C13" s="16" t="inlineStr">
        <is>
          <t>base 23.6"W × 28.3"H</t>
        </is>
      </c>
      <c r="D13" s="16" t="inlineStr">
        <is>
          <t>Base</t>
        </is>
      </c>
      <c r="E13" s="17" t="n">
        <v>23.6</v>
      </c>
      <c r="F13" s="17" t="n">
        <v>28.3</v>
      </c>
      <c r="G13" s="17" t="n">
        <v>23.6</v>
      </c>
      <c r="H13" s="17" t="n">
        <v>1</v>
      </c>
      <c r="I13" s="16" t="inlineStr">
        <is>
          <t>ELEVATION A</t>
        </is>
      </c>
      <c r="J13" s="16" t="inlineStr">
        <is>
          <t>Under sink, near wall</t>
        </is>
      </c>
    </row>
    <row r="14">
      <c r="A14" s="16" t="n">
        <v>4</v>
      </c>
      <c r="B14" s="10" t="inlineStr">
        <is>
          <t>B24</t>
        </is>
      </c>
      <c r="C14" s="16" t="inlineStr">
        <is>
          <t>base 23.6"W × 28.3"H</t>
        </is>
      </c>
      <c r="D14" s="16" t="inlineStr">
        <is>
          <t>Base</t>
        </is>
      </c>
      <c r="E14" s="17" t="n">
        <v>23.6</v>
      </c>
      <c r="F14" s="17" t="n">
        <v>28.3</v>
      </c>
      <c r="G14" s="17" t="n">
        <v>23.6</v>
      </c>
      <c r="H14" s="17" t="n">
        <v>1</v>
      </c>
      <c r="I14" s="16" t="inlineStr">
        <is>
          <t>ELEVATION A</t>
        </is>
      </c>
      <c r="J14" s="16" t="inlineStr">
        <is>
          <t>Under countertop, near sink</t>
        </is>
      </c>
    </row>
    <row r="15">
      <c r="A15" s="16" t="n">
        <v>5</v>
      </c>
      <c r="B15" s="10" t="inlineStr">
        <is>
          <t>W30-12</t>
        </is>
      </c>
      <c r="C15" s="16" t="inlineStr">
        <is>
          <t>upper_wall 30.0"W × 11.8"H</t>
        </is>
      </c>
      <c r="D15" s="16" t="inlineStr">
        <is>
          <t>Upper Wall</t>
        </is>
      </c>
      <c r="E15" s="17" t="n">
        <v>30</v>
      </c>
      <c r="F15" s="17" t="n">
        <v>11.8</v>
      </c>
      <c r="G15" s="17" t="n">
        <v>13</v>
      </c>
      <c r="H15" s="17" t="n">
        <v>1</v>
      </c>
      <c r="I15" s="16" t="inlineStr">
        <is>
          <t>ELEVATION A</t>
        </is>
      </c>
      <c r="J15" s="16" t="inlineStr">
        <is>
          <t>Left of range</t>
        </is>
      </c>
    </row>
    <row r="16">
      <c r="A16" s="16" t="n">
        <v>6</v>
      </c>
      <c r="B16" s="10" t="inlineStr">
        <is>
          <t>B24</t>
        </is>
      </c>
      <c r="C16" s="16" t="inlineStr">
        <is>
          <t>base 23.6"W × 28.3"H</t>
        </is>
      </c>
      <c r="D16" s="16" t="inlineStr">
        <is>
          <t>Base</t>
        </is>
      </c>
      <c r="E16" s="17" t="n">
        <v>23.6</v>
      </c>
      <c r="F16" s="17" t="n">
        <v>28.3</v>
      </c>
      <c r="G16" s="17" t="n">
        <v>23.6</v>
      </c>
      <c r="H16" s="17" t="n">
        <v>1</v>
      </c>
      <c r="I16" s="16" t="inlineStr">
        <is>
          <t>ELEVATION A</t>
        </is>
      </c>
      <c r="J16" s="16" t="inlineStr">
        <is>
          <t>Under sink</t>
        </is>
      </c>
    </row>
    <row r="17">
      <c r="A17" s="16" t="n">
        <v>7</v>
      </c>
      <c r="B17" s="10" t="inlineStr">
        <is>
          <t>T16-84</t>
        </is>
      </c>
      <c r="C17" s="16" t="inlineStr">
        <is>
          <t>pantry 15.7"W × 83.9"H</t>
        </is>
      </c>
      <c r="D17" s="16" t="inlineStr">
        <is>
          <t>Pantry</t>
        </is>
      </c>
      <c r="E17" s="17" t="n">
        <v>15.7</v>
      </c>
      <c r="F17" s="17" t="n">
        <v>83.90000000000001</v>
      </c>
      <c r="G17" s="17" t="n">
        <v>23.6</v>
      </c>
      <c r="H17" s="17" t="n">
        <v>1</v>
      </c>
      <c r="I17" s="16" t="inlineStr">
        <is>
          <t>ELEVATION A</t>
        </is>
      </c>
      <c r="J17" s="16" t="inlineStr">
        <is>
          <t>Right of refrigerator</t>
        </is>
      </c>
    </row>
    <row r="18">
      <c r="A18" s="16" t="n">
        <v>8</v>
      </c>
      <c r="B18" s="10" t="inlineStr">
        <is>
          <t>W30-12</t>
        </is>
      </c>
      <c r="C18" s="16" t="inlineStr">
        <is>
          <t>upper_wall 30.0"W × 11.8"H</t>
        </is>
      </c>
      <c r="D18" s="16" t="inlineStr">
        <is>
          <t>Upper Wall</t>
        </is>
      </c>
      <c r="E18" s="17" t="n">
        <v>30</v>
      </c>
      <c r="F18" s="17" t="n">
        <v>11.8</v>
      </c>
      <c r="G18" s="17" t="n">
        <v>13</v>
      </c>
      <c r="H18" s="17" t="n">
        <v>1</v>
      </c>
      <c r="I18" s="16" t="inlineStr"/>
      <c r="J18" s="16" t="inlineStr">
        <is>
          <t>Left of range</t>
        </is>
      </c>
    </row>
    <row r="19">
      <c r="A19" s="16" t="n">
        <v>9</v>
      </c>
      <c r="B19" s="10" t="inlineStr">
        <is>
          <t>B30</t>
        </is>
      </c>
      <c r="C19" s="16" t="inlineStr">
        <is>
          <t>base 30.0"W × 28.3"H</t>
        </is>
      </c>
      <c r="D19" s="16" t="inlineStr">
        <is>
          <t>Base</t>
        </is>
      </c>
      <c r="E19" s="17" t="n">
        <v>30</v>
      </c>
      <c r="F19" s="17" t="n">
        <v>28.3</v>
      </c>
      <c r="G19" s="17" t="n">
        <v>23.6</v>
      </c>
      <c r="H19" s="17" t="n">
        <v>1</v>
      </c>
      <c r="I19" s="16" t="inlineStr"/>
      <c r="J19" s="16" t="inlineStr">
        <is>
          <t>Under countertop</t>
        </is>
      </c>
    </row>
    <row r="20">
      <c r="A20" s="16" t="n">
        <v>10</v>
      </c>
      <c r="B20" s="10" t="inlineStr">
        <is>
          <t>B30</t>
        </is>
      </c>
      <c r="C20" s="16" t="inlineStr">
        <is>
          <t>base 30.0"W × 28.3"H</t>
        </is>
      </c>
      <c r="D20" s="16" t="inlineStr">
        <is>
          <t>Base</t>
        </is>
      </c>
      <c r="E20" s="17" t="n">
        <v>30</v>
      </c>
      <c r="F20" s="17" t="n">
        <v>28.3</v>
      </c>
      <c r="G20" s="17" t="n">
        <v>23.6</v>
      </c>
      <c r="H20" s="17" t="n">
        <v>1</v>
      </c>
      <c r="I20" s="16" t="inlineStr"/>
      <c r="J20" s="16" t="inlineStr">
        <is>
          <t>Under countertop</t>
        </is>
      </c>
    </row>
    <row r="21">
      <c r="A21" s="16" t="n">
        <v>11</v>
      </c>
      <c r="B21" s="10" t="inlineStr">
        <is>
          <t>B24</t>
        </is>
      </c>
      <c r="C21" s="16" t="inlineStr">
        <is>
          <t>base 23.6"W × 28.3"H</t>
        </is>
      </c>
      <c r="D21" s="16" t="inlineStr">
        <is>
          <t>Base</t>
        </is>
      </c>
      <c r="E21" s="17" t="n">
        <v>23.6</v>
      </c>
      <c r="F21" s="17" t="n">
        <v>28.3</v>
      </c>
      <c r="G21" s="17" t="n">
        <v>23.6</v>
      </c>
      <c r="H21" s="17" t="n">
        <v>1</v>
      </c>
      <c r="I21" s="16" t="inlineStr">
        <is>
          <t>ELEVATION A</t>
        </is>
      </c>
      <c r="J21" s="16" t="inlineStr">
        <is>
          <t>Under countertop, near sink</t>
        </is>
      </c>
    </row>
    <row r="22">
      <c r="A22" s="16" t="n">
        <v>12</v>
      </c>
      <c r="B22" s="10" t="inlineStr">
        <is>
          <t>W30-12</t>
        </is>
      </c>
      <c r="C22" s="16" t="inlineStr">
        <is>
          <t>upper_wall 30.0"W × 11.8"H</t>
        </is>
      </c>
      <c r="D22" s="16" t="inlineStr">
        <is>
          <t>Upper Wall</t>
        </is>
      </c>
      <c r="E22" s="17" t="n">
        <v>30</v>
      </c>
      <c r="F22" s="17" t="n">
        <v>11.8</v>
      </c>
      <c r="G22" s="17" t="n">
        <v>13</v>
      </c>
      <c r="H22" s="17" t="n">
        <v>1</v>
      </c>
      <c r="I22" s="16" t="inlineStr">
        <is>
          <t>ELEVATION A</t>
        </is>
      </c>
      <c r="J22" s="16" t="inlineStr">
        <is>
          <t>Above countertop, left of rang</t>
        </is>
      </c>
    </row>
    <row r="23">
      <c r="A23" s="16" t="n">
        <v>13</v>
      </c>
      <c r="B23" s="10" t="inlineStr">
        <is>
          <t>B24</t>
        </is>
      </c>
      <c r="C23" s="16" t="inlineStr">
        <is>
          <t>base 23.6"W × 28.3"H</t>
        </is>
      </c>
      <c r="D23" s="16" t="inlineStr">
        <is>
          <t>Base</t>
        </is>
      </c>
      <c r="E23" s="17" t="n">
        <v>23.6</v>
      </c>
      <c r="F23" s="17" t="n">
        <v>28.3</v>
      </c>
      <c r="G23" s="17" t="n">
        <v>23.6</v>
      </c>
      <c r="H23" s="17" t="n">
        <v>1</v>
      </c>
      <c r="I23" s="16" t="inlineStr">
        <is>
          <t>ELEVATION A</t>
        </is>
      </c>
      <c r="J23" s="16" t="inlineStr">
        <is>
          <t>Under countertop, right of sin</t>
        </is>
      </c>
    </row>
    <row r="24">
      <c r="A24" s="16" t="n">
        <v>14</v>
      </c>
      <c r="B24" s="10" t="inlineStr">
        <is>
          <t>T12-84</t>
        </is>
      </c>
      <c r="C24" s="16" t="inlineStr">
        <is>
          <t>pantry 11.8"W × 83.9"H</t>
        </is>
      </c>
      <c r="D24" s="16" t="inlineStr">
        <is>
          <t>Pantry</t>
        </is>
      </c>
      <c r="E24" s="17" t="n">
        <v>11.8</v>
      </c>
      <c r="F24" s="17" t="n">
        <v>83.90000000000001</v>
      </c>
      <c r="G24" s="17" t="n">
        <v>23.6</v>
      </c>
      <c r="H24" s="17" t="n">
        <v>1</v>
      </c>
      <c r="I24" s="16" t="inlineStr">
        <is>
          <t>ELEVATION A</t>
        </is>
      </c>
      <c r="J24" s="16" t="inlineStr">
        <is>
          <t>Tall cabinet, floor to ceiling</t>
        </is>
      </c>
    </row>
    <row r="25">
      <c r="A25" s="16" t="n">
        <v>15</v>
      </c>
      <c r="B25" s="10" t="inlineStr">
        <is>
          <t>B24</t>
        </is>
      </c>
      <c r="C25" s="16" t="inlineStr">
        <is>
          <t>base 23.6"W × 28.3"H</t>
        </is>
      </c>
      <c r="D25" s="16" t="inlineStr">
        <is>
          <t>Base</t>
        </is>
      </c>
      <c r="E25" s="17" t="n">
        <v>23.6</v>
      </c>
      <c r="F25" s="17" t="n">
        <v>28.3</v>
      </c>
      <c r="G25" s="17" t="n">
        <v>23.6</v>
      </c>
      <c r="H25" s="17" t="n">
        <v>1</v>
      </c>
      <c r="I25" s="16" t="inlineStr">
        <is>
          <t>ELEVATION A</t>
        </is>
      </c>
      <c r="J25" s="16" t="inlineStr">
        <is>
          <t>Under countertop, near sink ar</t>
        </is>
      </c>
    </row>
    <row r="26">
      <c r="A26" s="16" t="n">
        <v>16</v>
      </c>
      <c r="B26" s="10" t="inlineStr">
        <is>
          <t>B24</t>
        </is>
      </c>
      <c r="C26" s="16" t="inlineStr">
        <is>
          <t>base 23.6"W × 28.3"H</t>
        </is>
      </c>
      <c r="D26" s="16" t="inlineStr">
        <is>
          <t>Base</t>
        </is>
      </c>
      <c r="E26" s="17" t="n">
        <v>23.6</v>
      </c>
      <c r="F26" s="17" t="n">
        <v>28.3</v>
      </c>
      <c r="G26" s="17" t="n">
        <v>23.6</v>
      </c>
      <c r="H26" s="17" t="n">
        <v>1</v>
      </c>
      <c r="I26" s="16" t="inlineStr">
        <is>
          <t>ELEVATION A</t>
        </is>
      </c>
      <c r="J26" s="16" t="inlineStr">
        <is>
          <t xml:space="preserve">Under countertop, adjacent to </t>
        </is>
      </c>
    </row>
    <row r="27">
      <c r="A27" s="16" t="n">
        <v>17</v>
      </c>
      <c r="B27" s="10" t="inlineStr">
        <is>
          <t>W30-12</t>
        </is>
      </c>
      <c r="C27" s="16" t="inlineStr">
        <is>
          <t>upper_wall 30.0"W × 11.8"H</t>
        </is>
      </c>
      <c r="D27" s="16" t="inlineStr">
        <is>
          <t>Upper Wall</t>
        </is>
      </c>
      <c r="E27" s="17" t="n">
        <v>30</v>
      </c>
      <c r="F27" s="17" t="n">
        <v>11.8</v>
      </c>
      <c r="G27" s="17" t="n">
        <v>13</v>
      </c>
      <c r="H27" s="17" t="n">
        <v>1</v>
      </c>
      <c r="I27" s="16" t="inlineStr">
        <is>
          <t>ELEVATION A</t>
        </is>
      </c>
      <c r="J27" s="16" t="inlineStr">
        <is>
          <t>Above countertop, near sink ar</t>
        </is>
      </c>
    </row>
    <row r="28">
      <c r="A28" s="16" t="n">
        <v>18</v>
      </c>
      <c r="B28" s="10" t="inlineStr">
        <is>
          <t>DWA12</t>
        </is>
      </c>
      <c r="C28" s="16" t="inlineStr">
        <is>
          <t>dw_adjacent 11.8"W × 28.3"H</t>
        </is>
      </c>
      <c r="D28" s="16" t="inlineStr">
        <is>
          <t>Dw Adjacent</t>
        </is>
      </c>
      <c r="E28" s="17" t="n">
        <v>11.8</v>
      </c>
      <c r="F28" s="17" t="n">
        <v>28.3</v>
      </c>
      <c r="G28" s="17" t="n">
        <v>23.6</v>
      </c>
      <c r="H28" s="17" t="n">
        <v>1</v>
      </c>
      <c r="I28" s="16" t="inlineStr">
        <is>
          <t>ELEVATION A</t>
        </is>
      </c>
      <c r="J28" s="16" t="inlineStr">
        <is>
          <t>Adjacent to dishwasher</t>
        </is>
      </c>
    </row>
    <row r="29">
      <c r="A29" s="16" t="n">
        <v>19</v>
      </c>
      <c r="B29" s="10" t="inlineStr">
        <is>
          <t>MW30-15</t>
        </is>
      </c>
      <c r="C29" s="16" t="inlineStr">
        <is>
          <t>microwave_shelf 30.0"W × 15.0"H</t>
        </is>
      </c>
      <c r="D29" s="16" t="inlineStr">
        <is>
          <t>Microwave Shelf</t>
        </is>
      </c>
      <c r="E29" s="17" t="n">
        <v>30</v>
      </c>
      <c r="F29" s="17" t="n">
        <v>15</v>
      </c>
      <c r="G29" s="17" t="n">
        <v>13</v>
      </c>
      <c r="H29" s="17" t="n">
        <v>1</v>
      </c>
      <c r="I29" s="16" t="inlineStr">
        <is>
          <t>ELEVATION A</t>
        </is>
      </c>
      <c r="J29" s="16" t="inlineStr">
        <is>
          <t>Above range</t>
        </is>
      </c>
    </row>
    <row r="30">
      <c r="A30" s="16" t="n">
        <v>20</v>
      </c>
      <c r="B30" s="10" t="inlineStr">
        <is>
          <t>W30-12</t>
        </is>
      </c>
      <c r="C30" s="16" t="inlineStr">
        <is>
          <t>upper_wall 30.0"W × 11.8"H</t>
        </is>
      </c>
      <c r="D30" s="16" t="inlineStr">
        <is>
          <t>Upper Wall</t>
        </is>
      </c>
      <c r="E30" s="17" t="n">
        <v>30</v>
      </c>
      <c r="F30" s="17" t="n">
        <v>11.8</v>
      </c>
      <c r="G30" s="17" t="n">
        <v>13</v>
      </c>
      <c r="H30" s="17" t="n">
        <v>1</v>
      </c>
      <c r="I30" s="16" t="inlineStr">
        <is>
          <t>ELEVATION A</t>
        </is>
      </c>
      <c r="J30" s="16" t="inlineStr">
        <is>
          <t>Left of range</t>
        </is>
      </c>
    </row>
    <row r="31">
      <c r="A31" s="16" t="n">
        <v>21</v>
      </c>
      <c r="B31" s="10" t="inlineStr">
        <is>
          <t>B24</t>
        </is>
      </c>
      <c r="C31" s="16" t="inlineStr">
        <is>
          <t>base 23.6"W × 28.3"H</t>
        </is>
      </c>
      <c r="D31" s="16" t="inlineStr">
        <is>
          <t>Base</t>
        </is>
      </c>
      <c r="E31" s="17" t="n">
        <v>23.6</v>
      </c>
      <c r="F31" s="17" t="n">
        <v>28.3</v>
      </c>
      <c r="G31" s="17" t="n">
        <v>23.6</v>
      </c>
      <c r="H31" s="17" t="n">
        <v>1</v>
      </c>
      <c r="I31" s="16" t="inlineStr">
        <is>
          <t>ELEVATION A</t>
        </is>
      </c>
      <c r="J31" s="16" t="inlineStr">
        <is>
          <t>Under countertop</t>
        </is>
      </c>
    </row>
    <row r="32">
      <c r="A32" s="16" t="n">
        <v>22</v>
      </c>
      <c r="B32" s="10" t="inlineStr">
        <is>
          <t>SB35</t>
        </is>
      </c>
      <c r="C32" s="16" t="inlineStr">
        <is>
          <t>sink_base 35.4"W × 28.3"H</t>
        </is>
      </c>
      <c r="D32" s="16" t="inlineStr">
        <is>
          <t>Sink Base</t>
        </is>
      </c>
      <c r="E32" s="17" t="n">
        <v>35.4</v>
      </c>
      <c r="F32" s="17" t="n">
        <v>28.3</v>
      </c>
      <c r="G32" s="17" t="n">
        <v>23.6</v>
      </c>
      <c r="H32" s="17" t="n">
        <v>1</v>
      </c>
      <c r="I32" s="16" t="inlineStr">
        <is>
          <t>ELEVATION A</t>
        </is>
      </c>
      <c r="J32" s="16" t="inlineStr">
        <is>
          <t>Under sink</t>
        </is>
      </c>
    </row>
    <row r="33">
      <c r="A33" s="16" t="n">
        <v>23</v>
      </c>
      <c r="B33" s="10" t="inlineStr">
        <is>
          <t>T12-84</t>
        </is>
      </c>
      <c r="C33" s="16" t="inlineStr">
        <is>
          <t>pantry 11.8"W × 83.9"H</t>
        </is>
      </c>
      <c r="D33" s="16" t="inlineStr">
        <is>
          <t>Pantry</t>
        </is>
      </c>
      <c r="E33" s="17" t="n">
        <v>11.8</v>
      </c>
      <c r="F33" s="17" t="n">
        <v>83.90000000000001</v>
      </c>
      <c r="G33" s="17" t="n">
        <v>23.6</v>
      </c>
      <c r="H33" s="17" t="n">
        <v>1</v>
      </c>
      <c r="I33" s="16" t="inlineStr">
        <is>
          <t>ELEVATION A</t>
        </is>
      </c>
      <c r="J33" s="16" t="inlineStr">
        <is>
          <t>Tall cabinet</t>
        </is>
      </c>
    </row>
    <row r="34">
      <c r="A34" s="16" t="n">
        <v>24</v>
      </c>
      <c r="B34" s="10" t="inlineStr">
        <is>
          <t>BC18</t>
        </is>
      </c>
      <c r="C34" s="16" t="inlineStr">
        <is>
          <t>corner_base 17.7"W × 28.3"H</t>
        </is>
      </c>
      <c r="D34" s="16" t="inlineStr">
        <is>
          <t>Corner Base</t>
        </is>
      </c>
      <c r="E34" s="17" t="n">
        <v>17.7</v>
      </c>
      <c r="F34" s="17" t="n">
        <v>28.3</v>
      </c>
      <c r="G34" s="17" t="n">
        <v>23.6</v>
      </c>
      <c r="H34" s="17" t="n">
        <v>1</v>
      </c>
      <c r="I34" s="16" t="inlineStr">
        <is>
          <t>ELEVATION A</t>
        </is>
      </c>
      <c r="J34" s="16" t="inlineStr">
        <is>
          <t>Corner base</t>
        </is>
      </c>
    </row>
    <row r="35">
      <c r="A35" s="16" t="n">
        <v>25</v>
      </c>
      <c r="B35" s="10" t="inlineStr">
        <is>
          <t>B24</t>
        </is>
      </c>
      <c r="C35" s="16" t="inlineStr">
        <is>
          <t>base 23.6"W × 28.3"H</t>
        </is>
      </c>
      <c r="D35" s="16" t="inlineStr">
        <is>
          <t>Base</t>
        </is>
      </c>
      <c r="E35" s="17" t="n">
        <v>23.6</v>
      </c>
      <c r="F35" s="17" t="n">
        <v>28.3</v>
      </c>
      <c r="G35" s="17" t="n">
        <v>23.6</v>
      </c>
      <c r="H35" s="17" t="n">
        <v>1</v>
      </c>
      <c r="I35" s="16" t="inlineStr">
        <is>
          <t>BATH</t>
        </is>
      </c>
      <c r="J35" s="16" t="inlineStr">
        <is>
          <t>Left side, bottom</t>
        </is>
      </c>
    </row>
    <row r="36">
      <c r="A36" s="16" t="n">
        <v>26</v>
      </c>
      <c r="B36" s="10" t="inlineStr">
        <is>
          <t>W30-12</t>
        </is>
      </c>
      <c r="C36" s="16" t="inlineStr">
        <is>
          <t>upper_wall 30.0"W × 11.8"H</t>
        </is>
      </c>
      <c r="D36" s="16" t="inlineStr">
        <is>
          <t>Upper Wall</t>
        </is>
      </c>
      <c r="E36" s="17" t="n">
        <v>30</v>
      </c>
      <c r="F36" s="17" t="n">
        <v>11.8</v>
      </c>
      <c r="G36" s="17" t="n">
        <v>13</v>
      </c>
      <c r="H36" s="17" t="n">
        <v>1</v>
      </c>
      <c r="I36" s="16" t="inlineStr">
        <is>
          <t>BATH</t>
        </is>
      </c>
      <c r="J36" s="16" t="inlineStr">
        <is>
          <t>Above toilet</t>
        </is>
      </c>
    </row>
    <row r="37">
      <c r="A37" s="16" t="n">
        <v>27</v>
      </c>
      <c r="B37" s="10" t="inlineStr">
        <is>
          <t>W30-12</t>
        </is>
      </c>
      <c r="C37" s="16" t="inlineStr">
        <is>
          <t>upper_wall 30.0"W × 11.8"H</t>
        </is>
      </c>
      <c r="D37" s="16" t="inlineStr">
        <is>
          <t>Upper Wall</t>
        </is>
      </c>
      <c r="E37" s="17" t="n">
        <v>30</v>
      </c>
      <c r="F37" s="17" t="n">
        <v>11.8</v>
      </c>
      <c r="G37" s="17" t="n">
        <v>13</v>
      </c>
      <c r="H37" s="17" t="n">
        <v>1</v>
      </c>
      <c r="I37" s="16" t="inlineStr">
        <is>
          <t>UNIT A1 KITCHEN EL.</t>
        </is>
      </c>
      <c r="J37" s="16" t="inlineStr">
        <is>
          <t>Left of refrigerator, near top</t>
        </is>
      </c>
    </row>
    <row r="38">
      <c r="A38" s="16" t="n">
        <v>28</v>
      </c>
      <c r="B38" s="10" t="inlineStr">
        <is>
          <t>W30-12</t>
        </is>
      </c>
      <c r="C38" s="16" t="inlineStr">
        <is>
          <t>upper_wall 30.0"W × 11.8"H</t>
        </is>
      </c>
      <c r="D38" s="16" t="inlineStr">
        <is>
          <t>Upper Wall</t>
        </is>
      </c>
      <c r="E38" s="17" t="n">
        <v>30</v>
      </c>
      <c r="F38" s="17" t="n">
        <v>11.8</v>
      </c>
      <c r="G38" s="17" t="n">
        <v>13</v>
      </c>
      <c r="H38" s="17" t="n">
        <v>1</v>
      </c>
      <c r="I38" s="16" t="inlineStr">
        <is>
          <t>UNIT A1 KITCHEN EL.</t>
        </is>
      </c>
      <c r="J38" s="16" t="inlineStr">
        <is>
          <t>Center, above sink</t>
        </is>
      </c>
    </row>
    <row r="39">
      <c r="A39" s="16" t="n">
        <v>29</v>
      </c>
      <c r="B39" s="10" t="inlineStr">
        <is>
          <t>W30-12</t>
        </is>
      </c>
      <c r="C39" s="16" t="inlineStr">
        <is>
          <t>upper_wall 30.0"W × 11.8"H</t>
        </is>
      </c>
      <c r="D39" s="16" t="inlineStr">
        <is>
          <t>Upper Wall</t>
        </is>
      </c>
      <c r="E39" s="17" t="n">
        <v>30</v>
      </c>
      <c r="F39" s="17" t="n">
        <v>11.8</v>
      </c>
      <c r="G39" s="17" t="n">
        <v>13</v>
      </c>
      <c r="H39" s="17" t="n">
        <v>1</v>
      </c>
      <c r="I39" s="16" t="inlineStr">
        <is>
          <t>UNIT A1 KITCHEN EL.</t>
        </is>
      </c>
      <c r="J39" s="16" t="inlineStr">
        <is>
          <t>Right of sink, near top</t>
        </is>
      </c>
    </row>
    <row r="40">
      <c r="A40" s="16" t="n">
        <v>30</v>
      </c>
      <c r="B40" s="10" t="inlineStr">
        <is>
          <t>B24</t>
        </is>
      </c>
      <c r="C40" s="16" t="inlineStr">
        <is>
          <t>base 23.6"W × 28.3"H</t>
        </is>
      </c>
      <c r="D40" s="16" t="inlineStr">
        <is>
          <t>Base</t>
        </is>
      </c>
      <c r="E40" s="17" t="n">
        <v>23.6</v>
      </c>
      <c r="F40" s="17" t="n">
        <v>28.3</v>
      </c>
      <c r="G40" s="17" t="n">
        <v>23.6</v>
      </c>
      <c r="H40" s="17" t="n">
        <v>1</v>
      </c>
      <c r="I40" s="16" t="inlineStr">
        <is>
          <t>UNIT A1 KITCHEN EL.</t>
        </is>
      </c>
      <c r="J40" s="16" t="inlineStr">
        <is>
          <t>Left of dishwasher, bottom</t>
        </is>
      </c>
    </row>
    <row r="41">
      <c r="A41" s="16" t="n">
        <v>31</v>
      </c>
      <c r="B41" s="10" t="inlineStr">
        <is>
          <t>SB35</t>
        </is>
      </c>
      <c r="C41" s="16" t="inlineStr">
        <is>
          <t>sink_base 35.4"W × 28.3"H</t>
        </is>
      </c>
      <c r="D41" s="16" t="inlineStr">
        <is>
          <t>Sink Base</t>
        </is>
      </c>
      <c r="E41" s="17" t="n">
        <v>35.4</v>
      </c>
      <c r="F41" s="17" t="n">
        <v>28.3</v>
      </c>
      <c r="G41" s="17" t="n">
        <v>23.6</v>
      </c>
      <c r="H41" s="17" t="n">
        <v>1</v>
      </c>
      <c r="I41" s="16" t="inlineStr">
        <is>
          <t>UNIT A1 KITCHEN EL.</t>
        </is>
      </c>
      <c r="J41" s="16" t="inlineStr">
        <is>
          <t>Center, under sink</t>
        </is>
      </c>
    </row>
    <row r="42">
      <c r="A42" s="16" t="n">
        <v>32</v>
      </c>
      <c r="B42" s="10" t="inlineStr">
        <is>
          <t>DWA24</t>
        </is>
      </c>
      <c r="C42" s="16" t="inlineStr">
        <is>
          <t>dw_adjacent 23.6"W × 28.3"H</t>
        </is>
      </c>
      <c r="D42" s="16" t="inlineStr">
        <is>
          <t>Dw Adjacent</t>
        </is>
      </c>
      <c r="E42" s="17" t="n">
        <v>23.6</v>
      </c>
      <c r="F42" s="17" t="n">
        <v>28.3</v>
      </c>
      <c r="G42" s="17" t="n">
        <v>23.6</v>
      </c>
      <c r="H42" s="17" t="n">
        <v>1</v>
      </c>
      <c r="I42" s="16" t="inlineStr">
        <is>
          <t>UNIT A1 KITCHEN EL.</t>
        </is>
      </c>
      <c r="J42" s="16" t="inlineStr">
        <is>
          <t>Right of dishwasher, bottom</t>
        </is>
      </c>
    </row>
    <row r="43">
      <c r="A43" s="16" t="n">
        <v>33</v>
      </c>
      <c r="B43" s="10" t="inlineStr">
        <is>
          <t>B24</t>
        </is>
      </c>
      <c r="C43" s="16" t="inlineStr">
        <is>
          <t>base 23.6"W × 28.3"H</t>
        </is>
      </c>
      <c r="D43" s="16" t="inlineStr">
        <is>
          <t>Base</t>
        </is>
      </c>
      <c r="E43" s="17" t="n">
        <v>23.6</v>
      </c>
      <c r="F43" s="17" t="n">
        <v>28.3</v>
      </c>
      <c r="G43" s="17" t="n">
        <v>23.6</v>
      </c>
      <c r="H43" s="17" t="n">
        <v>1</v>
      </c>
      <c r="I43" s="16" t="inlineStr">
        <is>
          <t>UNIT A1 KITCHEN EL.</t>
        </is>
      </c>
      <c r="J43" s="16" t="inlineStr">
        <is>
          <t>Right of oven, bottom</t>
        </is>
      </c>
    </row>
    <row r="44">
      <c r="A44" s="16" t="n">
        <v>34</v>
      </c>
      <c r="B44" s="10" t="inlineStr">
        <is>
          <t>T24-84</t>
        </is>
      </c>
      <c r="C44" s="16" t="inlineStr">
        <is>
          <t>pantry 23.6"W × 83.9"H</t>
        </is>
      </c>
      <c r="D44" s="16" t="inlineStr">
        <is>
          <t>Pantry</t>
        </is>
      </c>
      <c r="E44" s="17" t="n">
        <v>23.6</v>
      </c>
      <c r="F44" s="17" t="n">
        <v>83.90000000000001</v>
      </c>
      <c r="G44" s="17" t="n">
        <v>23.6</v>
      </c>
      <c r="H44" s="17" t="n">
        <v>1</v>
      </c>
      <c r="I44" s="16" t="inlineStr">
        <is>
          <t>UNIT A1 KITCHEN EL.</t>
        </is>
      </c>
      <c r="J44" s="16" t="inlineStr">
        <is>
          <t>Right, tall cabinet</t>
        </is>
      </c>
    </row>
    <row r="45">
      <c r="A45" s="16" t="n">
        <v>35</v>
      </c>
      <c r="B45" s="10" t="inlineStr">
        <is>
          <t>W30-12</t>
        </is>
      </c>
      <c r="C45" s="16" t="inlineStr">
        <is>
          <t>upper_wall 30.0"W × 11.8"H</t>
        </is>
      </c>
      <c r="D45" s="16" t="inlineStr">
        <is>
          <t>Upper Wall</t>
        </is>
      </c>
      <c r="E45" s="17" t="n">
        <v>30</v>
      </c>
      <c r="F45" s="17" t="n">
        <v>11.8</v>
      </c>
      <c r="G45" s="17" t="n">
        <v>13</v>
      </c>
      <c r="H45" s="17" t="n">
        <v>1</v>
      </c>
      <c r="I45" s="16" t="inlineStr">
        <is>
          <t>ELEVATION A</t>
        </is>
      </c>
      <c r="J45" s="16" t="inlineStr">
        <is>
          <t>Above sink, near range</t>
        </is>
      </c>
    </row>
    <row r="46">
      <c r="A46" s="16" t="n">
        <v>36</v>
      </c>
      <c r="B46" s="10" t="inlineStr">
        <is>
          <t>W30-12</t>
        </is>
      </c>
      <c r="C46" s="16" t="inlineStr">
        <is>
          <t>upper_wall 30.0"W × 11.8"H</t>
        </is>
      </c>
      <c r="D46" s="16" t="inlineStr">
        <is>
          <t>Upper Wall</t>
        </is>
      </c>
      <c r="E46" s="17" t="n">
        <v>30</v>
      </c>
      <c r="F46" s="17" t="n">
        <v>11.8</v>
      </c>
      <c r="G46" s="17" t="n">
        <v>13</v>
      </c>
      <c r="H46" s="17" t="n">
        <v>1</v>
      </c>
      <c r="I46" s="16" t="inlineStr">
        <is>
          <t>ELEVATION A</t>
        </is>
      </c>
      <c r="J46" s="16" t="inlineStr">
        <is>
          <t>Above refrigerator space</t>
        </is>
      </c>
    </row>
    <row r="47">
      <c r="A47" s="16" t="n">
        <v>37</v>
      </c>
      <c r="B47" s="10" t="inlineStr">
        <is>
          <t>B24</t>
        </is>
      </c>
      <c r="C47" s="16" t="inlineStr">
        <is>
          <t>base 23.6"W × 28.3"H</t>
        </is>
      </c>
      <c r="D47" s="16" t="inlineStr">
        <is>
          <t>Base</t>
        </is>
      </c>
      <c r="E47" s="17" t="n">
        <v>23.6</v>
      </c>
      <c r="F47" s="17" t="n">
        <v>28.3</v>
      </c>
      <c r="G47" s="17" t="n">
        <v>23.6</v>
      </c>
      <c r="H47" s="17" t="n">
        <v>1</v>
      </c>
      <c r="I47" s="16" t="inlineStr">
        <is>
          <t>ELEVATION A</t>
        </is>
      </c>
      <c r="J47" s="16" t="inlineStr">
        <is>
          <t>Under sink</t>
        </is>
      </c>
    </row>
    <row r="48">
      <c r="A48" s="16" t="n">
        <v>38</v>
      </c>
      <c r="B48" s="10" t="inlineStr">
        <is>
          <t>DWA24</t>
        </is>
      </c>
      <c r="C48" s="16" t="inlineStr">
        <is>
          <t>dw_adjacent 23.6"W × 28.3"H</t>
        </is>
      </c>
      <c r="D48" s="16" t="inlineStr">
        <is>
          <t>Dw Adjacent</t>
        </is>
      </c>
      <c r="E48" s="17" t="n">
        <v>23.6</v>
      </c>
      <c r="F48" s="17" t="n">
        <v>28.3</v>
      </c>
      <c r="G48" s="17" t="n">
        <v>23.6</v>
      </c>
      <c r="H48" s="17" t="n">
        <v>1</v>
      </c>
      <c r="I48" s="16" t="inlineStr">
        <is>
          <t>ELEVATION A</t>
        </is>
      </c>
      <c r="J48" s="16" t="inlineStr">
        <is>
          <t>Adjacent to dishwasher</t>
        </is>
      </c>
    </row>
    <row r="49">
      <c r="A49" s="16" t="n">
        <v>39</v>
      </c>
      <c r="B49" s="10" t="inlineStr">
        <is>
          <t>B24</t>
        </is>
      </c>
      <c r="C49" s="16" t="inlineStr">
        <is>
          <t>base 23.6"W × 28.3"H</t>
        </is>
      </c>
      <c r="D49" s="16" t="inlineStr">
        <is>
          <t>Base</t>
        </is>
      </c>
      <c r="E49" s="17" t="n">
        <v>23.6</v>
      </c>
      <c r="F49" s="17" t="n">
        <v>28.3</v>
      </c>
      <c r="G49" s="17" t="n">
        <v>23.6</v>
      </c>
      <c r="H49" s="17" t="n">
        <v>1</v>
      </c>
      <c r="I49" s="16" t="inlineStr">
        <is>
          <t>ELEVATION A</t>
        </is>
      </c>
      <c r="J49" s="16" t="inlineStr">
        <is>
          <t>Under countertop, near corner</t>
        </is>
      </c>
    </row>
    <row r="50">
      <c r="A50" s="16" t="n">
        <v>40</v>
      </c>
      <c r="B50" s="10" t="inlineStr">
        <is>
          <t>W30-12-ADA</t>
        </is>
      </c>
      <c r="C50" s="16" t="inlineStr">
        <is>
          <t>upper_wall 30.0"W × 11.8"H</t>
        </is>
      </c>
      <c r="D50" s="16" t="inlineStr">
        <is>
          <t>Upper Wall</t>
        </is>
      </c>
      <c r="E50" s="17" t="n">
        <v>30</v>
      </c>
      <c r="F50" s="17" t="n">
        <v>11.8</v>
      </c>
      <c r="G50" s="17" t="n">
        <v>13</v>
      </c>
      <c r="H50" s="17" t="n">
        <v>1</v>
      </c>
      <c r="I50" s="16" t="inlineStr">
        <is>
          <t>ELEVATION A</t>
        </is>
      </c>
      <c r="J50" s="16" t="inlineStr">
        <is>
          <t>Above range</t>
        </is>
      </c>
    </row>
    <row r="51">
      <c r="A51" s="16" t="n">
        <v>41</v>
      </c>
      <c r="B51" s="10" t="inlineStr">
        <is>
          <t>W30-12</t>
        </is>
      </c>
      <c r="C51" s="16" t="inlineStr">
        <is>
          <t>upper_wall 30.0"W × 11.8"H</t>
        </is>
      </c>
      <c r="D51" s="16" t="inlineStr">
        <is>
          <t>Upper Wall</t>
        </is>
      </c>
      <c r="E51" s="17" t="n">
        <v>30</v>
      </c>
      <c r="F51" s="17" t="n">
        <v>11.8</v>
      </c>
      <c r="G51" s="17" t="n">
        <v>13</v>
      </c>
      <c r="H51" s="17" t="n">
        <v>1</v>
      </c>
      <c r="I51" s="16" t="inlineStr">
        <is>
          <t>UNIT A1 KITCHEN EL.</t>
        </is>
      </c>
      <c r="J51" s="16" t="inlineStr">
        <is>
          <t>Top center</t>
        </is>
      </c>
    </row>
    <row r="52">
      <c r="A52" s="16" t="n">
        <v>42</v>
      </c>
      <c r="B52" s="10" t="inlineStr">
        <is>
          <t>W30-12</t>
        </is>
      </c>
      <c r="C52" s="16" t="inlineStr">
        <is>
          <t>upper_wall 30.0"W × 11.8"H</t>
        </is>
      </c>
      <c r="D52" s="16" t="inlineStr">
        <is>
          <t>Upper Wall</t>
        </is>
      </c>
      <c r="E52" s="17" t="n">
        <v>30</v>
      </c>
      <c r="F52" s="17" t="n">
        <v>11.8</v>
      </c>
      <c r="G52" s="17" t="n">
        <v>13</v>
      </c>
      <c r="H52" s="17" t="n">
        <v>1</v>
      </c>
      <c r="I52" s="16" t="inlineStr">
        <is>
          <t>UNIT A1 KITCHEN EL.</t>
        </is>
      </c>
      <c r="J52" s="16" t="inlineStr">
        <is>
          <t>Top right</t>
        </is>
      </c>
    </row>
    <row r="53">
      <c r="A53" s="16" t="n">
        <v>43</v>
      </c>
      <c r="B53" s="10" t="inlineStr">
        <is>
          <t>B35</t>
        </is>
      </c>
      <c r="C53" s="16" t="inlineStr">
        <is>
          <t>base 35.4"W × 28.3"H</t>
        </is>
      </c>
      <c r="D53" s="16" t="inlineStr">
        <is>
          <t>Base</t>
        </is>
      </c>
      <c r="E53" s="17" t="n">
        <v>35.4</v>
      </c>
      <c r="F53" s="17" t="n">
        <v>28.3</v>
      </c>
      <c r="G53" s="17" t="n">
        <v>23.6</v>
      </c>
      <c r="H53" s="17" t="n">
        <v>1</v>
      </c>
      <c r="I53" s="16" t="inlineStr">
        <is>
          <t>UNIT A1 KITCHEN EL.</t>
        </is>
      </c>
      <c r="J53" s="16" t="inlineStr">
        <is>
          <t>Bottom center</t>
        </is>
      </c>
    </row>
    <row r="54">
      <c r="A54" s="16" t="n">
        <v>44</v>
      </c>
      <c r="B54" s="10" t="inlineStr">
        <is>
          <t>B24</t>
        </is>
      </c>
      <c r="C54" s="16" t="inlineStr">
        <is>
          <t>base 23.6"W × 28.3"H</t>
        </is>
      </c>
      <c r="D54" s="16" t="inlineStr">
        <is>
          <t>Base</t>
        </is>
      </c>
      <c r="E54" s="17" t="n">
        <v>23.6</v>
      </c>
      <c r="F54" s="17" t="n">
        <v>28.3</v>
      </c>
      <c r="G54" s="17" t="n">
        <v>23.6</v>
      </c>
      <c r="H54" s="17" t="n">
        <v>1</v>
      </c>
      <c r="I54" s="16" t="inlineStr">
        <is>
          <t>UNIT A1 KITCHEN EL.</t>
        </is>
      </c>
      <c r="J54" s="16" t="inlineStr">
        <is>
          <t>Bottom left</t>
        </is>
      </c>
    </row>
    <row r="55">
      <c r="A55" s="16" t="n">
        <v>45</v>
      </c>
      <c r="B55" s="10" t="inlineStr">
        <is>
          <t>MW30-12</t>
        </is>
      </c>
      <c r="C55" s="16" t="inlineStr">
        <is>
          <t>microwave_shelf 30.0"W × 11.8"H</t>
        </is>
      </c>
      <c r="D55" s="16" t="inlineStr">
        <is>
          <t>Microwave Shelf</t>
        </is>
      </c>
      <c r="E55" s="17" t="n">
        <v>30</v>
      </c>
      <c r="F55" s="17" t="n">
        <v>11.8</v>
      </c>
      <c r="G55" s="17" t="n">
        <v>13</v>
      </c>
      <c r="H55" s="17" t="n">
        <v>1</v>
      </c>
      <c r="I55" s="16" t="inlineStr">
        <is>
          <t>UNIT A1 KITCHEN EL.</t>
        </is>
      </c>
      <c r="J55" s="16" t="inlineStr">
        <is>
          <t>Top right, above range</t>
        </is>
      </c>
    </row>
    <row r="56">
      <c r="A56" s="16" t="n">
        <v>46</v>
      </c>
      <c r="B56" s="10" t="inlineStr">
        <is>
          <t>B24-ADA</t>
        </is>
      </c>
      <c r="C56" s="16" t="inlineStr">
        <is>
          <t>base 23.6"W × 28.3"H</t>
        </is>
      </c>
      <c r="D56" s="16" t="inlineStr">
        <is>
          <t>Base</t>
        </is>
      </c>
      <c r="E56" s="17" t="n">
        <v>23.6</v>
      </c>
      <c r="F56" s="17" t="n">
        <v>28.3</v>
      </c>
      <c r="G56" s="17" t="n">
        <v>23.6</v>
      </c>
      <c r="H56" s="17" t="n">
        <v>1</v>
      </c>
      <c r="I56" s="16" t="inlineStr">
        <is>
          <t>BATH</t>
        </is>
      </c>
      <c r="J56" s="16" t="inlineStr">
        <is>
          <t>Under vanity</t>
        </is>
      </c>
    </row>
    <row r="57">
      <c r="A57" s="16" t="n">
        <v>47</v>
      </c>
      <c r="B57" s="10" t="inlineStr">
        <is>
          <t>B18-ADA</t>
        </is>
      </c>
      <c r="C57" s="16" t="inlineStr">
        <is>
          <t>base 17.7"W × 28.3"H</t>
        </is>
      </c>
      <c r="D57" s="16" t="inlineStr">
        <is>
          <t>Base</t>
        </is>
      </c>
      <c r="E57" s="17" t="n">
        <v>17.7</v>
      </c>
      <c r="F57" s="17" t="n">
        <v>28.3</v>
      </c>
      <c r="G57" s="17" t="n">
        <v>23.6</v>
      </c>
      <c r="H57" s="17" t="n">
        <v>1</v>
      </c>
      <c r="I57" s="16" t="inlineStr">
        <is>
          <t>BATH</t>
        </is>
      </c>
      <c r="J57" s="16" t="inlineStr">
        <is>
          <t>Right of vanity, under counter</t>
        </is>
      </c>
    </row>
    <row r="58">
      <c r="A58" s="16" t="n">
        <v>48</v>
      </c>
      <c r="B58" s="10" t="inlineStr">
        <is>
          <t>B35-ADA</t>
        </is>
      </c>
      <c r="C58" s="16" t="inlineStr">
        <is>
          <t>base 35.4"W × 28.3"H</t>
        </is>
      </c>
      <c r="D58" s="16" t="inlineStr">
        <is>
          <t>Base</t>
        </is>
      </c>
      <c r="E58" s="17" t="n">
        <v>35.4</v>
      </c>
      <c r="F58" s="17" t="n">
        <v>28.3</v>
      </c>
      <c r="G58" s="17" t="n">
        <v>23.6</v>
      </c>
      <c r="H58" s="17" t="n">
        <v>1</v>
      </c>
      <c r="I58" s="16" t="inlineStr">
        <is>
          <t>ELEVATION_B</t>
        </is>
      </c>
      <c r="J58" s="16" t="inlineStr">
        <is>
          <t>Below linen closet</t>
        </is>
      </c>
    </row>
    <row r="59">
      <c r="A59" s="16" t="n">
        <v>49</v>
      </c>
      <c r="B59" s="10" t="inlineStr">
        <is>
          <t>B35-ADA</t>
        </is>
      </c>
      <c r="C59" s="16" t="inlineStr">
        <is>
          <t>base 35.4"W × 28.3"H</t>
        </is>
      </c>
      <c r="D59" s="16" t="inlineStr">
        <is>
          <t>Base</t>
        </is>
      </c>
      <c r="E59" s="17" t="n">
        <v>35.4</v>
      </c>
      <c r="F59" s="17" t="n">
        <v>28.3</v>
      </c>
      <c r="G59" s="17" t="n">
        <v>23.6</v>
      </c>
      <c r="H59" s="17" t="n">
        <v>1</v>
      </c>
      <c r="I59" s="16" t="inlineStr">
        <is>
          <t>ELEVATION A</t>
        </is>
      </c>
      <c r="J59" s="16" t="inlineStr">
        <is>
          <t>Below countertop, near linen c</t>
        </is>
      </c>
    </row>
    <row r="60">
      <c r="A60" s="16" t="n">
        <v>50</v>
      </c>
      <c r="B60" s="10" t="inlineStr">
        <is>
          <t>W24-15-ADA</t>
        </is>
      </c>
      <c r="C60" s="16" t="inlineStr">
        <is>
          <t>upper_wall 23.6"W × 15.0"H</t>
        </is>
      </c>
      <c r="D60" s="16" t="inlineStr">
        <is>
          <t>Upper Wall</t>
        </is>
      </c>
      <c r="E60" s="17" t="n">
        <v>23.6</v>
      </c>
      <c r="F60" s="17" t="n">
        <v>15</v>
      </c>
      <c r="G60" s="17" t="n">
        <v>13</v>
      </c>
      <c r="H60" s="17" t="n">
        <v>1</v>
      </c>
      <c r="I60" s="16" t="inlineStr">
        <is>
          <t>ELEVATION A</t>
        </is>
      </c>
      <c r="J60" s="16" t="inlineStr">
        <is>
          <t>Above countertop, near sink</t>
        </is>
      </c>
    </row>
    <row r="61">
      <c r="A61" s="16" t="n">
        <v>51</v>
      </c>
      <c r="B61" s="10" t="inlineStr">
        <is>
          <t>B35-ADA</t>
        </is>
      </c>
      <c r="C61" s="16" t="inlineStr">
        <is>
          <t>base 35.4"W × 28.3"H</t>
        </is>
      </c>
      <c r="D61" s="16" t="inlineStr">
        <is>
          <t>Base</t>
        </is>
      </c>
      <c r="E61" s="17" t="n">
        <v>35.4</v>
      </c>
      <c r="F61" s="17" t="n">
        <v>28.3</v>
      </c>
      <c r="G61" s="17" t="n">
        <v>23.6</v>
      </c>
      <c r="H61" s="17" t="n">
        <v>1</v>
      </c>
      <c r="I61" s="16" t="inlineStr">
        <is>
          <t>ELEVATION A</t>
        </is>
      </c>
      <c r="J61" s="16" t="inlineStr">
        <is>
          <t>Left side, under countertop</t>
        </is>
      </c>
    </row>
    <row r="62">
      <c r="A62" s="16" t="n">
        <v>52</v>
      </c>
      <c r="B62" s="10" t="inlineStr">
        <is>
          <t>W24-15-ADA</t>
        </is>
      </c>
      <c r="C62" s="16" t="inlineStr">
        <is>
          <t>upper_wall 23.6"W × 15.0"H</t>
        </is>
      </c>
      <c r="D62" s="16" t="inlineStr">
        <is>
          <t>Upper Wall</t>
        </is>
      </c>
      <c r="E62" s="17" t="n">
        <v>23.6</v>
      </c>
      <c r="F62" s="17" t="n">
        <v>15</v>
      </c>
      <c r="G62" s="17" t="n">
        <v>13</v>
      </c>
      <c r="H62" s="17" t="n">
        <v>1</v>
      </c>
      <c r="I62" s="16" t="inlineStr">
        <is>
          <t>ELEVATION A</t>
        </is>
      </c>
      <c r="J62" s="16" t="inlineStr">
        <is>
          <t>Right side, upper wall</t>
        </is>
      </c>
    </row>
    <row r="63">
      <c r="A63" s="16" t="n">
        <v>53</v>
      </c>
      <c r="B63" s="10" t="inlineStr">
        <is>
          <t>B24</t>
        </is>
      </c>
      <c r="C63" s="16" t="inlineStr">
        <is>
          <t>base 23.6"W × 28.3"H</t>
        </is>
      </c>
      <c r="D63" s="16" t="inlineStr">
        <is>
          <t>Base</t>
        </is>
      </c>
      <c r="E63" s="17" t="n">
        <v>23.6</v>
      </c>
      <c r="F63" s="17" t="n">
        <v>28.3</v>
      </c>
      <c r="G63" s="17" t="n">
        <v>23.6</v>
      </c>
      <c r="H63" s="17" t="n">
        <v>1</v>
      </c>
      <c r="I63" s="16" t="inlineStr">
        <is>
          <t>UNIT A1 KITCHEN EL.</t>
        </is>
      </c>
      <c r="J63" s="16" t="inlineStr">
        <is>
          <t>Under countertop, left side</t>
        </is>
      </c>
    </row>
    <row r="64">
      <c r="A64" s="16" t="n">
        <v>54</v>
      </c>
      <c r="B64" s="10" t="inlineStr">
        <is>
          <t>B18</t>
        </is>
      </c>
      <c r="C64" s="16" t="inlineStr">
        <is>
          <t>base 17.7"W × 28.3"H</t>
        </is>
      </c>
      <c r="D64" s="16" t="inlineStr">
        <is>
          <t>Base</t>
        </is>
      </c>
      <c r="E64" s="17" t="n">
        <v>17.7</v>
      </c>
      <c r="F64" s="17" t="n">
        <v>28.3</v>
      </c>
      <c r="G64" s="17" t="n">
        <v>23.6</v>
      </c>
      <c r="H64" s="17" t="n">
        <v>1</v>
      </c>
      <c r="I64" s="16" t="inlineStr">
        <is>
          <t>UNIT A1 KITCHEN EL.</t>
        </is>
      </c>
      <c r="J64" s="16" t="inlineStr">
        <is>
          <t>Under countertop, center</t>
        </is>
      </c>
    </row>
    <row r="65">
      <c r="A65" s="16" t="n">
        <v>55</v>
      </c>
      <c r="B65" s="10" t="inlineStr">
        <is>
          <t>SB35</t>
        </is>
      </c>
      <c r="C65" s="16" t="inlineStr">
        <is>
          <t>sink_base 35.4"W × 28.3"H</t>
        </is>
      </c>
      <c r="D65" s="16" t="inlineStr">
        <is>
          <t>Sink Base</t>
        </is>
      </c>
      <c r="E65" s="17" t="n">
        <v>35.4</v>
      </c>
      <c r="F65" s="17" t="n">
        <v>28.3</v>
      </c>
      <c r="G65" s="17" t="n">
        <v>23.6</v>
      </c>
      <c r="H65" s="17" t="n">
        <v>1</v>
      </c>
      <c r="I65" s="16" t="inlineStr">
        <is>
          <t>UNIT A1 KITCHEN EL.</t>
        </is>
      </c>
      <c r="J65" s="16" t="inlineStr">
        <is>
          <t>Under sink, right side</t>
        </is>
      </c>
    </row>
    <row r="66">
      <c r="A66" s="16" t="n">
        <v>56</v>
      </c>
      <c r="B66" s="10" t="inlineStr">
        <is>
          <t>DWA6</t>
        </is>
      </c>
      <c r="C66" s="16" t="inlineStr">
        <is>
          <t>dw_adjacent 5.9"W × 28.3"H</t>
        </is>
      </c>
      <c r="D66" s="16" t="inlineStr">
        <is>
          <t>Dw Adjacent</t>
        </is>
      </c>
      <c r="E66" s="17" t="n">
        <v>5.9</v>
      </c>
      <c r="F66" s="17" t="n">
        <v>28.3</v>
      </c>
      <c r="G66" s="17" t="n">
        <v>23.6</v>
      </c>
      <c r="H66" s="17" t="n">
        <v>1</v>
      </c>
      <c r="I66" s="16" t="inlineStr">
        <is>
          <t>UNIT A1 KITCHEN EL.</t>
        </is>
      </c>
      <c r="J66" s="16" t="inlineStr">
        <is>
          <t xml:space="preserve">Adjacent to dishwasher, right </t>
        </is>
      </c>
    </row>
    <row r="67">
      <c r="A67" s="16" t="n">
        <v>57</v>
      </c>
      <c r="B67" s="10" t="inlineStr">
        <is>
          <t>W30-12</t>
        </is>
      </c>
      <c r="C67" s="16" t="inlineStr">
        <is>
          <t>upper_wall 30.0"W × 11.8"H</t>
        </is>
      </c>
      <c r="D67" s="16" t="inlineStr">
        <is>
          <t>Upper Wall</t>
        </is>
      </c>
      <c r="E67" s="17" t="n">
        <v>30</v>
      </c>
      <c r="F67" s="17" t="n">
        <v>11.8</v>
      </c>
      <c r="G67" s="17" t="n">
        <v>13</v>
      </c>
      <c r="H67" s="17" t="n">
        <v>1</v>
      </c>
      <c r="I67" s="16" t="inlineStr">
        <is>
          <t>UNIT A1 KITCHEN EL.</t>
        </is>
      </c>
      <c r="J67" s="16" t="inlineStr">
        <is>
          <t>Above countertop, left side</t>
        </is>
      </c>
    </row>
    <row r="68">
      <c r="A68" s="16" t="n">
        <v>58</v>
      </c>
      <c r="B68" s="10" t="inlineStr">
        <is>
          <t>W30-28</t>
        </is>
      </c>
      <c r="C68" s="16" t="inlineStr">
        <is>
          <t>upper_wall 30.0"W × 28.3"H</t>
        </is>
      </c>
      <c r="D68" s="16" t="inlineStr">
        <is>
          <t>Upper Wall</t>
        </is>
      </c>
      <c r="E68" s="17" t="n">
        <v>30</v>
      </c>
      <c r="F68" s="17" t="n">
        <v>28.3</v>
      </c>
      <c r="G68" s="17" t="n">
        <v>13</v>
      </c>
      <c r="H68" s="17" t="n">
        <v>1</v>
      </c>
      <c r="I68" s="16" t="inlineStr">
        <is>
          <t>UNIT A1 KITCHEN EL.</t>
        </is>
      </c>
      <c r="J68" s="16" t="inlineStr">
        <is>
          <t>Above refrigerator, left side</t>
        </is>
      </c>
    </row>
    <row r="69">
      <c r="A69" s="16" t="n">
        <v>59</v>
      </c>
      <c r="B69" s="10" t="inlineStr">
        <is>
          <t>MW30-12</t>
        </is>
      </c>
      <c r="C69" s="16" t="inlineStr">
        <is>
          <t>microwave_shelf 30.0"W × 11.8"H</t>
        </is>
      </c>
      <c r="D69" s="16" t="inlineStr">
        <is>
          <t>Microwave Shelf</t>
        </is>
      </c>
      <c r="E69" s="17" t="n">
        <v>30</v>
      </c>
      <c r="F69" s="17" t="n">
        <v>11.8</v>
      </c>
      <c r="G69" s="17" t="n">
        <v>13</v>
      </c>
      <c r="H69" s="17" t="n">
        <v>1</v>
      </c>
      <c r="I69" s="16" t="inlineStr">
        <is>
          <t>UNIT A1 KITCHEN EL.</t>
        </is>
      </c>
      <c r="J69" s="16" t="inlineStr">
        <is>
          <t>Above range, center</t>
        </is>
      </c>
    </row>
    <row r="70">
      <c r="A70" s="16" t="n">
        <v>60</v>
      </c>
      <c r="B70" s="10" t="inlineStr">
        <is>
          <t>B24-ADA</t>
        </is>
      </c>
      <c r="C70" s="16" t="inlineStr">
        <is>
          <t>base 23.6"W × 28.3"H</t>
        </is>
      </c>
      <c r="D70" s="16" t="inlineStr">
        <is>
          <t>Base</t>
        </is>
      </c>
      <c r="E70" s="17" t="n">
        <v>23.6</v>
      </c>
      <c r="F70" s="17" t="n">
        <v>28.3</v>
      </c>
      <c r="G70" s="17" t="n">
        <v>23.6</v>
      </c>
      <c r="H70" s="17" t="n">
        <v>1</v>
      </c>
      <c r="I70" s="16" t="inlineStr">
        <is>
          <t>ELEVATION A</t>
        </is>
      </c>
      <c r="J70" s="16" t="inlineStr">
        <is>
          <t>Left side, near bottom</t>
        </is>
      </c>
    </row>
    <row r="71">
      <c r="A71" s="16" t="n">
        <v>61</v>
      </c>
      <c r="B71" s="10" t="inlineStr">
        <is>
          <t>W30-12-ADA</t>
        </is>
      </c>
      <c r="C71" s="16" t="inlineStr">
        <is>
          <t>upper_wall 30.0"W × 11.8"H</t>
        </is>
      </c>
      <c r="D71" s="16" t="inlineStr">
        <is>
          <t>Upper Wall</t>
        </is>
      </c>
      <c r="E71" s="17" t="n">
        <v>30</v>
      </c>
      <c r="F71" s="17" t="n">
        <v>11.8</v>
      </c>
      <c r="G71" s="17" t="n">
        <v>13</v>
      </c>
      <c r="H71" s="17" t="n">
        <v>1</v>
      </c>
      <c r="I71" s="16" t="inlineStr">
        <is>
          <t>ELEVATION A</t>
        </is>
      </c>
      <c r="J71" s="16" t="inlineStr">
        <is>
          <t>Above countertop, left side</t>
        </is>
      </c>
    </row>
    <row r="72">
      <c r="A72" s="16" t="n">
        <v>62</v>
      </c>
      <c r="B72" s="10" t="inlineStr">
        <is>
          <t>B24</t>
        </is>
      </c>
      <c r="C72" s="16" t="inlineStr">
        <is>
          <t>base 23.6"W × 28.3"H</t>
        </is>
      </c>
      <c r="D72" s="16" t="inlineStr">
        <is>
          <t>Base</t>
        </is>
      </c>
      <c r="E72" s="17" t="n">
        <v>23.6</v>
      </c>
      <c r="F72" s="17" t="n">
        <v>28.3</v>
      </c>
      <c r="G72" s="17" t="n">
        <v>23.6</v>
      </c>
      <c r="H72" s="17" t="n">
        <v>1</v>
      </c>
      <c r="I72" s="16" t="inlineStr">
        <is>
          <t>UNIT A1 KITCHEN EL.</t>
        </is>
      </c>
      <c r="J72" s="16" t="inlineStr">
        <is>
          <t>Left side, bottom</t>
        </is>
      </c>
    </row>
    <row r="73">
      <c r="A73" s="16" t="n">
        <v>63</v>
      </c>
      <c r="B73" s="10" t="inlineStr">
        <is>
          <t>W30-12</t>
        </is>
      </c>
      <c r="C73" s="16" t="inlineStr">
        <is>
          <t>upper_wall 30.0"W × 11.8"H</t>
        </is>
      </c>
      <c r="D73" s="16" t="inlineStr">
        <is>
          <t>Upper Wall</t>
        </is>
      </c>
      <c r="E73" s="17" t="n">
        <v>30</v>
      </c>
      <c r="F73" s="17" t="n">
        <v>11.8</v>
      </c>
      <c r="G73" s="17" t="n">
        <v>13</v>
      </c>
      <c r="H73" s="17" t="n">
        <v>1</v>
      </c>
      <c r="I73" s="16" t="inlineStr">
        <is>
          <t>UNIT A1 KITCHEN EL.</t>
        </is>
      </c>
      <c r="J73" s="16" t="inlineStr">
        <is>
          <t>Top left, above counter</t>
        </is>
      </c>
    </row>
    <row r="74">
      <c r="A74" s="16" t="n">
        <v>64</v>
      </c>
      <c r="B74" s="10" t="inlineStr">
        <is>
          <t>B24</t>
        </is>
      </c>
      <c r="C74" s="16" t="inlineStr">
        <is>
          <t>base 23.6"W × 28.3"H</t>
        </is>
      </c>
      <c r="D74" s="16" t="inlineStr">
        <is>
          <t>Base</t>
        </is>
      </c>
      <c r="E74" s="17" t="n">
        <v>23.6</v>
      </c>
      <c r="F74" s="17" t="n">
        <v>28.3</v>
      </c>
      <c r="G74" s="17" t="n">
        <v>23.6</v>
      </c>
      <c r="H74" s="17" t="n">
        <v>1</v>
      </c>
      <c r="I74" s="16" t="inlineStr">
        <is>
          <t>UNIT A1 KITCHEN EL.</t>
        </is>
      </c>
      <c r="J74" s="16" t="inlineStr">
        <is>
          <t>Right side, bottom</t>
        </is>
      </c>
    </row>
    <row r="75">
      <c r="A75" s="16" t="n">
        <v>65</v>
      </c>
      <c r="B75" s="10" t="inlineStr">
        <is>
          <t>W30-28</t>
        </is>
      </c>
      <c r="C75" s="16" t="inlineStr">
        <is>
          <t>upper_wall 30.0"W × 28.3"H</t>
        </is>
      </c>
      <c r="D75" s="16" t="inlineStr">
        <is>
          <t>Upper Wall</t>
        </is>
      </c>
      <c r="E75" s="17" t="n">
        <v>30</v>
      </c>
      <c r="F75" s="17" t="n">
        <v>28.3</v>
      </c>
      <c r="G75" s="17" t="n">
        <v>13</v>
      </c>
      <c r="H75" s="17" t="n">
        <v>1</v>
      </c>
      <c r="I75" s="16" t="inlineStr">
        <is>
          <t>UNIT A1 KITCHEN EL.</t>
        </is>
      </c>
      <c r="J75" s="16" t="inlineStr">
        <is>
          <t>Top right, above counter</t>
        </is>
      </c>
    </row>
    <row r="76">
      <c r="A76" s="13" t="inlineStr">
        <is>
          <t>KITCHEN SUBTOTALS</t>
        </is>
      </c>
      <c r="B76" s="25" t="n"/>
      <c r="C76" s="25" t="n"/>
      <c r="D76" s="25" t="n"/>
      <c r="E76" s="25" t="n"/>
      <c r="F76" s="25" t="n"/>
      <c r="G76" s="25" t="n"/>
      <c r="H76" s="13" t="n">
        <v>65</v>
      </c>
      <c r="I76" s="25" t="n"/>
      <c r="J76" s="25" t="n"/>
    </row>
    <row r="77"/>
    <row r="78">
      <c r="A78" s="32" t="inlineStr">
        <is>
          <t>SECTION 2 — BATHROOM VANITY CABINETS</t>
        </is>
      </c>
    </row>
    <row r="79"/>
    <row r="80">
      <c r="A80" s="9" t="inlineStr">
        <is>
          <t>Item</t>
        </is>
      </c>
      <c r="B80" s="9" t="inlineStr">
        <is>
          <t>Cabinet Code</t>
        </is>
      </c>
      <c r="C80" s="9" t="inlineStr">
        <is>
          <t>Description</t>
        </is>
      </c>
      <c r="D80" s="9" t="inlineStr">
        <is>
          <t>Type</t>
        </is>
      </c>
      <c r="E80" s="9" t="inlineStr">
        <is>
          <t>W (in)</t>
        </is>
      </c>
      <c r="F80" s="9" t="inlineStr">
        <is>
          <t>H (in)</t>
        </is>
      </c>
      <c r="G80" s="9" t="inlineStr">
        <is>
          <t>D (in)</t>
        </is>
      </c>
      <c r="H80" s="9" t="inlineStr">
        <is>
          <t>Qty</t>
        </is>
      </c>
      <c r="I80" s="9" t="inlineStr">
        <is>
          <t>Elev. Ref.</t>
        </is>
      </c>
      <c r="J80" s="9" t="inlineStr">
        <is>
          <t>Location Note</t>
        </is>
      </c>
    </row>
    <row r="81">
      <c r="A81" s="16" t="n">
        <v>1</v>
      </c>
      <c r="B81" s="10" t="inlineStr">
        <is>
          <t>VAN35</t>
        </is>
      </c>
      <c r="C81" s="16" t="inlineStr">
        <is>
          <t>vanity 35.4"W × 34.3"H</t>
        </is>
      </c>
      <c r="D81" s="16" t="inlineStr">
        <is>
          <t>Vanity</t>
        </is>
      </c>
      <c r="E81" s="17" t="n">
        <v>35.4</v>
      </c>
      <c r="F81" s="17" t="n">
        <v>34.3</v>
      </c>
      <c r="G81" s="17" t="n">
        <v>20.9</v>
      </c>
      <c r="H81" s="17" t="n">
        <v>1</v>
      </c>
      <c r="I81" s="16" t="inlineStr">
        <is>
          <t>ELEVATION A</t>
        </is>
      </c>
      <c r="J81" s="16" t="inlineStr">
        <is>
          <t>Bathroom, under sink</t>
        </is>
      </c>
    </row>
    <row r="82">
      <c r="A82" s="16" t="n">
        <v>2</v>
      </c>
      <c r="B82" s="10" t="inlineStr">
        <is>
          <t>MED16</t>
        </is>
      </c>
      <c r="C82" s="16" t="inlineStr">
        <is>
          <t>medicine_cabinet 15.7"W × 11.8"H</t>
        </is>
      </c>
      <c r="D82" s="16" t="inlineStr">
        <is>
          <t>Medicine Cabinet</t>
        </is>
      </c>
      <c r="E82" s="17" t="n">
        <v>15.7</v>
      </c>
      <c r="F82" s="17" t="n">
        <v>11.8</v>
      </c>
      <c r="G82" s="17" t="n">
        <v>5.9</v>
      </c>
      <c r="H82" s="17" t="n">
        <v>1</v>
      </c>
      <c r="I82" s="16" t="inlineStr">
        <is>
          <t>ELEVATION A</t>
        </is>
      </c>
      <c r="J82" s="16" t="inlineStr">
        <is>
          <t>Bathroom, above sink</t>
        </is>
      </c>
    </row>
    <row r="83">
      <c r="A83" s="16" t="n">
        <v>3</v>
      </c>
      <c r="B83" s="10" t="inlineStr">
        <is>
          <t>VAN35</t>
        </is>
      </c>
      <c r="C83" s="16" t="inlineStr">
        <is>
          <t>vanity 35.4"W × 34.3"H</t>
        </is>
      </c>
      <c r="D83" s="16" t="inlineStr">
        <is>
          <t>Vanity</t>
        </is>
      </c>
      <c r="E83" s="17" t="n">
        <v>35.4</v>
      </c>
      <c r="F83" s="17" t="n">
        <v>34.3</v>
      </c>
      <c r="G83" s="17" t="n">
        <v>20.9</v>
      </c>
      <c r="H83" s="17" t="n">
        <v>1</v>
      </c>
      <c r="I83" s="16" t="inlineStr">
        <is>
          <t>ELEVATION A</t>
        </is>
      </c>
      <c r="J83" s="16" t="inlineStr">
        <is>
          <t>Bathroom</t>
        </is>
      </c>
    </row>
    <row r="84">
      <c r="A84" s="16" t="n">
        <v>4</v>
      </c>
      <c r="B84" s="10" t="inlineStr">
        <is>
          <t>MED6</t>
        </is>
      </c>
      <c r="C84" s="16" t="inlineStr">
        <is>
          <t>medicine_cabinet 5.9"W × 11.8"H</t>
        </is>
      </c>
      <c r="D84" s="16" t="inlineStr">
        <is>
          <t>Medicine Cabinet</t>
        </is>
      </c>
      <c r="E84" s="17" t="n">
        <v>5.9</v>
      </c>
      <c r="F84" s="17" t="n">
        <v>11.8</v>
      </c>
      <c r="G84" s="17" t="n">
        <v>5.9</v>
      </c>
      <c r="H84" s="17" t="n">
        <v>1</v>
      </c>
      <c r="I84" s="16" t="inlineStr">
        <is>
          <t>ELEVATION A</t>
        </is>
      </c>
      <c r="J84" s="16" t="inlineStr">
        <is>
          <t>Above sink</t>
        </is>
      </c>
    </row>
    <row r="85">
      <c r="A85" s="16" t="n">
        <v>5</v>
      </c>
      <c r="B85" s="10" t="inlineStr">
        <is>
          <t>VAN35</t>
        </is>
      </c>
      <c r="C85" s="16" t="inlineStr">
        <is>
          <t>vanity 35.4"W × 34.3"H</t>
        </is>
      </c>
      <c r="D85" s="16" t="inlineStr">
        <is>
          <t>Vanity</t>
        </is>
      </c>
      <c r="E85" s="17" t="n">
        <v>35.4</v>
      </c>
      <c r="F85" s="17" t="n">
        <v>34.3</v>
      </c>
      <c r="G85" s="17" t="n">
        <v>20.9</v>
      </c>
      <c r="H85" s="17" t="n">
        <v>1</v>
      </c>
      <c r="I85" s="16" t="inlineStr"/>
      <c r="J85" s="16" t="inlineStr">
        <is>
          <t>Bathroom</t>
        </is>
      </c>
    </row>
    <row r="86">
      <c r="A86" s="16" t="n">
        <v>6</v>
      </c>
      <c r="B86" s="10" t="inlineStr">
        <is>
          <t>MED12</t>
        </is>
      </c>
      <c r="C86" s="16" t="inlineStr">
        <is>
          <t>medicine_cabinet 11.8"W × 11.8"H</t>
        </is>
      </c>
      <c r="D86" s="16" t="inlineStr">
        <is>
          <t>Medicine Cabinet</t>
        </is>
      </c>
      <c r="E86" s="17" t="n">
        <v>11.8</v>
      </c>
      <c r="F86" s="17" t="n">
        <v>11.8</v>
      </c>
      <c r="G86" s="17" t="n">
        <v>5.9</v>
      </c>
      <c r="H86" s="17" t="n">
        <v>1</v>
      </c>
      <c r="I86" s="16" t="inlineStr"/>
      <c r="J86" s="16" t="inlineStr">
        <is>
          <t>Above sink</t>
        </is>
      </c>
    </row>
    <row r="87">
      <c r="A87" s="16" t="n">
        <v>7</v>
      </c>
      <c r="B87" s="10" t="inlineStr">
        <is>
          <t>VAN47-ADA</t>
        </is>
      </c>
      <c r="C87" s="16" t="inlineStr">
        <is>
          <t>vanity 47.2"W × 34.3"H</t>
        </is>
      </c>
      <c r="D87" s="16" t="inlineStr">
        <is>
          <t>Vanity</t>
        </is>
      </c>
      <c r="E87" s="17" t="n">
        <v>47.2</v>
      </c>
      <c r="F87" s="17" t="n">
        <v>34.3</v>
      </c>
      <c r="G87" s="17" t="n">
        <v>20.9</v>
      </c>
      <c r="H87" s="17" t="n">
        <v>1</v>
      </c>
      <c r="I87" s="16" t="inlineStr">
        <is>
          <t>ELEVATION A</t>
        </is>
      </c>
      <c r="J87" s="16" t="inlineStr">
        <is>
          <t>Bathroom vanity</t>
        </is>
      </c>
    </row>
    <row r="88">
      <c r="A88" s="16" t="n">
        <v>8</v>
      </c>
      <c r="B88" s="10" t="inlineStr">
        <is>
          <t>MED6-ADA</t>
        </is>
      </c>
      <c r="C88" s="16" t="inlineStr">
        <is>
          <t>medicine_cabinet 5.9"W × 11.8"H</t>
        </is>
      </c>
      <c r="D88" s="16" t="inlineStr">
        <is>
          <t>Medicine Cabinet</t>
        </is>
      </c>
      <c r="E88" s="17" t="n">
        <v>5.9</v>
      </c>
      <c r="F88" s="17" t="n">
        <v>11.8</v>
      </c>
      <c r="G88" s="17" t="n">
        <v>5.9</v>
      </c>
      <c r="H88" s="17" t="n">
        <v>1</v>
      </c>
      <c r="I88" s="16" t="inlineStr">
        <is>
          <t>ELEVATION A</t>
        </is>
      </c>
      <c r="J88" s="16" t="inlineStr">
        <is>
          <t>Above sink</t>
        </is>
      </c>
    </row>
    <row r="89">
      <c r="A89" s="16" t="n">
        <v>9</v>
      </c>
      <c r="B89" s="10" t="inlineStr">
        <is>
          <t>VAN35</t>
        </is>
      </c>
      <c r="C89" s="16" t="inlineStr">
        <is>
          <t>vanity 35.4"W × 34.3"H</t>
        </is>
      </c>
      <c r="D89" s="16" t="inlineStr">
        <is>
          <t>Vanity</t>
        </is>
      </c>
      <c r="E89" s="17" t="n">
        <v>35.4</v>
      </c>
      <c r="F89" s="17" t="n">
        <v>34.3</v>
      </c>
      <c r="G89" s="17" t="n">
        <v>20.9</v>
      </c>
      <c r="H89" s="17" t="n">
        <v>1</v>
      </c>
      <c r="I89" s="16" t="inlineStr">
        <is>
          <t>BATH</t>
        </is>
      </c>
      <c r="J89" s="16" t="inlineStr">
        <is>
          <t>Center, bottom</t>
        </is>
      </c>
    </row>
    <row r="90">
      <c r="A90" s="16" t="n">
        <v>10</v>
      </c>
      <c r="B90" s="10" t="inlineStr">
        <is>
          <t>LIN16</t>
        </is>
      </c>
      <c r="C90" s="16" t="inlineStr">
        <is>
          <t>linen 15.7"W × 83.9"H</t>
        </is>
      </c>
      <c r="D90" s="16" t="inlineStr">
        <is>
          <t>Linen</t>
        </is>
      </c>
      <c r="E90" s="17" t="n">
        <v>15.7</v>
      </c>
      <c r="F90" s="17" t="n">
        <v>83.90000000000001</v>
      </c>
      <c r="G90" s="17" t="n">
        <v>23.6</v>
      </c>
      <c r="H90" s="17" t="n">
        <v>1</v>
      </c>
      <c r="I90" s="16" t="inlineStr">
        <is>
          <t>BATH</t>
        </is>
      </c>
      <c r="J90" s="16" t="inlineStr">
        <is>
          <t>Right side, floor to ceiling</t>
        </is>
      </c>
    </row>
    <row r="91">
      <c r="A91" s="16" t="n">
        <v>11</v>
      </c>
      <c r="B91" s="10" t="inlineStr">
        <is>
          <t>MED6</t>
        </is>
      </c>
      <c r="C91" s="16" t="inlineStr">
        <is>
          <t>medicine_cabinet 5.9"W × 11.8"H</t>
        </is>
      </c>
      <c r="D91" s="16" t="inlineStr">
        <is>
          <t>Medicine Cabinet</t>
        </is>
      </c>
      <c r="E91" s="17" t="n">
        <v>5.9</v>
      </c>
      <c r="F91" s="17" t="n">
        <v>11.8</v>
      </c>
      <c r="G91" s="17" t="n">
        <v>13</v>
      </c>
      <c r="H91" s="17" t="n">
        <v>1</v>
      </c>
      <c r="I91" s="16" t="inlineStr">
        <is>
          <t>BATH</t>
        </is>
      </c>
      <c r="J91" s="16" t="inlineStr">
        <is>
          <t>Above sink</t>
        </is>
      </c>
    </row>
    <row r="92">
      <c r="A92" s="16" t="n">
        <v>12</v>
      </c>
      <c r="B92" s="10" t="inlineStr">
        <is>
          <t>VAN24-ADA</t>
        </is>
      </c>
      <c r="C92" s="16" t="inlineStr">
        <is>
          <t>vanity 23.6"W × 34.3"H</t>
        </is>
      </c>
      <c r="D92" s="16" t="inlineStr">
        <is>
          <t>Vanity</t>
        </is>
      </c>
      <c r="E92" s="17" t="n">
        <v>23.6</v>
      </c>
      <c r="F92" s="17" t="n">
        <v>34.3</v>
      </c>
      <c r="G92" s="17" t="n">
        <v>20.9</v>
      </c>
      <c r="H92" s="17" t="n">
        <v>1</v>
      </c>
      <c r="I92" s="16" t="inlineStr">
        <is>
          <t>VANITY</t>
        </is>
      </c>
      <c r="J92" s="16" t="inlineStr">
        <is>
          <t>Left side, near sink area</t>
        </is>
      </c>
    </row>
    <row r="93">
      <c r="A93" s="16" t="n">
        <v>13</v>
      </c>
      <c r="B93" s="10" t="inlineStr">
        <is>
          <t>MED12-ADA</t>
        </is>
      </c>
      <c r="C93" s="16" t="inlineStr">
        <is>
          <t>medicine_cabinet 11.8"W × 5.9"H</t>
        </is>
      </c>
      <c r="D93" s="16" t="inlineStr">
        <is>
          <t>Medicine Cabinet</t>
        </is>
      </c>
      <c r="E93" s="17" t="n">
        <v>11.8</v>
      </c>
      <c r="F93" s="17" t="n">
        <v>5.9</v>
      </c>
      <c r="G93" s="17" t="n">
        <v>5.1</v>
      </c>
      <c r="H93" s="17" t="n">
        <v>1</v>
      </c>
      <c r="I93" s="16" t="inlineStr">
        <is>
          <t>VANITY</t>
        </is>
      </c>
      <c r="J93" s="16" t="inlineStr">
        <is>
          <t>Above vanity</t>
        </is>
      </c>
    </row>
    <row r="94">
      <c r="A94" s="16" t="n">
        <v>14</v>
      </c>
      <c r="B94" s="10" t="inlineStr">
        <is>
          <t>LIN12-ADA</t>
        </is>
      </c>
      <c r="C94" s="16" t="inlineStr">
        <is>
          <t>linen 11.8"W × 83.9"H</t>
        </is>
      </c>
      <c r="D94" s="16" t="inlineStr">
        <is>
          <t>Linen</t>
        </is>
      </c>
      <c r="E94" s="17" t="n">
        <v>11.8</v>
      </c>
      <c r="F94" s="17" t="n">
        <v>83.90000000000001</v>
      </c>
      <c r="G94" s="17" t="n">
        <v>23.6</v>
      </c>
      <c r="H94" s="17" t="n">
        <v>1</v>
      </c>
      <c r="I94" s="16" t="inlineStr">
        <is>
          <t>ELEVATION A</t>
        </is>
      </c>
      <c r="J94" s="16" t="inlineStr">
        <is>
          <t>Right side, tall cabinet</t>
        </is>
      </c>
    </row>
    <row r="95">
      <c r="A95" s="16" t="n">
        <v>15</v>
      </c>
      <c r="B95" s="10" t="inlineStr">
        <is>
          <t>VAN24-ADA</t>
        </is>
      </c>
      <c r="C95" s="16" t="inlineStr">
        <is>
          <t>vanity 23.6"W × 34.3"H</t>
        </is>
      </c>
      <c r="D95" s="16" t="inlineStr">
        <is>
          <t>Vanity</t>
        </is>
      </c>
      <c r="E95" s="17" t="n">
        <v>23.6</v>
      </c>
      <c r="F95" s="17" t="n">
        <v>34.3</v>
      </c>
      <c r="G95" s="17" t="n">
        <v>20.9</v>
      </c>
      <c r="H95" s="17" t="n">
        <v>1</v>
      </c>
      <c r="I95" s="16" t="inlineStr">
        <is>
          <t>BATH</t>
        </is>
      </c>
      <c r="J95" s="16" t="inlineStr">
        <is>
          <t>Left side, near sink area</t>
        </is>
      </c>
    </row>
    <row r="96">
      <c r="A96" s="16" t="n">
        <v>16</v>
      </c>
      <c r="B96" s="10" t="inlineStr">
        <is>
          <t>LIN12-ADA</t>
        </is>
      </c>
      <c r="C96" s="16" t="inlineStr">
        <is>
          <t>linen 11.8"W × 83.9"H</t>
        </is>
      </c>
      <c r="D96" s="16" t="inlineStr">
        <is>
          <t>Linen</t>
        </is>
      </c>
      <c r="E96" s="17" t="n">
        <v>11.8</v>
      </c>
      <c r="F96" s="17" t="n">
        <v>83.90000000000001</v>
      </c>
      <c r="G96" s="17" t="n">
        <v>23.6</v>
      </c>
      <c r="H96" s="17" t="n">
        <v>1</v>
      </c>
      <c r="I96" s="16" t="inlineStr">
        <is>
          <t>BATH</t>
        </is>
      </c>
      <c r="J96" s="16" t="inlineStr">
        <is>
          <t>Right side, above floor</t>
        </is>
      </c>
    </row>
    <row r="97">
      <c r="A97" s="16" t="n">
        <v>17</v>
      </c>
      <c r="B97" s="10" t="inlineStr">
        <is>
          <t>MED6-ADA</t>
        </is>
      </c>
      <c r="C97" s="16" t="inlineStr">
        <is>
          <t>medicine_cabinet 5.9"W × 11.8"H</t>
        </is>
      </c>
      <c r="D97" s="16" t="inlineStr">
        <is>
          <t>Medicine Cabinet</t>
        </is>
      </c>
      <c r="E97" s="17" t="n">
        <v>5.9</v>
      </c>
      <c r="F97" s="17" t="n">
        <v>11.8</v>
      </c>
      <c r="G97" s="17" t="n">
        <v>13</v>
      </c>
      <c r="H97" s="17" t="n">
        <v>1</v>
      </c>
      <c r="I97" s="16" t="inlineStr">
        <is>
          <t>BATH</t>
        </is>
      </c>
      <c r="J97" s="16" t="inlineStr">
        <is>
          <t>Above vanity</t>
        </is>
      </c>
    </row>
    <row r="98">
      <c r="A98" s="16" t="n">
        <v>18</v>
      </c>
      <c r="B98" s="10" t="inlineStr">
        <is>
          <t>LIN24-ADA</t>
        </is>
      </c>
      <c r="C98" s="16" t="inlineStr">
        <is>
          <t>linen 24.0"W × 24.0"H</t>
        </is>
      </c>
      <c r="D98" s="16" t="inlineStr">
        <is>
          <t>Linen</t>
        </is>
      </c>
      <c r="E98" s="17" t="n">
        <v>24</v>
      </c>
      <c r="F98" s="17" t="n">
        <v>24</v>
      </c>
      <c r="G98" s="17" t="n">
        <v>23.6</v>
      </c>
      <c r="H98" s="17" t="n">
        <v>1</v>
      </c>
      <c r="I98" s="16" t="inlineStr">
        <is>
          <t>BATH</t>
        </is>
      </c>
      <c r="J98" s="16" t="inlineStr">
        <is>
          <t>Left wall, above countertop</t>
        </is>
      </c>
    </row>
    <row r="99">
      <c r="A99" s="16" t="n">
        <v>19</v>
      </c>
      <c r="B99" s="10" t="inlineStr">
        <is>
          <t>VAN47-ADA</t>
        </is>
      </c>
      <c r="C99" s="16" t="inlineStr">
        <is>
          <t>vanity 47.2"W × 34.3"H</t>
        </is>
      </c>
      <c r="D99" s="16" t="inlineStr">
        <is>
          <t>Vanity</t>
        </is>
      </c>
      <c r="E99" s="17" t="n">
        <v>47.2</v>
      </c>
      <c r="F99" s="17" t="n">
        <v>34.3</v>
      </c>
      <c r="G99" s="17" t="n">
        <v>20.9</v>
      </c>
      <c r="H99" s="17" t="n">
        <v>1</v>
      </c>
      <c r="I99" s="16" t="inlineStr">
        <is>
          <t>BATH</t>
        </is>
      </c>
      <c r="J99" s="16" t="inlineStr">
        <is>
          <t>Center wall, below sink</t>
        </is>
      </c>
    </row>
    <row r="100">
      <c r="A100" s="16" t="n">
        <v>20</v>
      </c>
      <c r="B100" s="10" t="inlineStr">
        <is>
          <t>MED30-ADA</t>
        </is>
      </c>
      <c r="C100" s="16" t="inlineStr">
        <is>
          <t>medicine_cabinet 30.0"W × 11.8"H</t>
        </is>
      </c>
      <c r="D100" s="16" t="inlineStr">
        <is>
          <t>Medicine Cabinet</t>
        </is>
      </c>
      <c r="E100" s="17" t="n">
        <v>30</v>
      </c>
      <c r="F100" s="17" t="n">
        <v>11.8</v>
      </c>
      <c r="G100" s="17" t="n">
        <v>13</v>
      </c>
      <c r="H100" s="17" t="n">
        <v>1</v>
      </c>
      <c r="I100" s="16" t="inlineStr">
        <is>
          <t>BATH</t>
        </is>
      </c>
      <c r="J100" s="16" t="inlineStr">
        <is>
          <t>Right wall, above sink</t>
        </is>
      </c>
    </row>
    <row r="101">
      <c r="A101" s="16" t="n">
        <v>21</v>
      </c>
      <c r="B101" s="10" t="inlineStr">
        <is>
          <t>VAN35-ADA</t>
        </is>
      </c>
      <c r="C101" s="16" t="inlineStr">
        <is>
          <t>vanity 35.4"W × 34.3"H</t>
        </is>
      </c>
      <c r="D101" s="16" t="inlineStr">
        <is>
          <t>Vanity</t>
        </is>
      </c>
      <c r="E101" s="17" t="n">
        <v>35.4</v>
      </c>
      <c r="F101" s="17" t="n">
        <v>34.3</v>
      </c>
      <c r="G101" s="17" t="n">
        <v>20.9</v>
      </c>
      <c r="H101" s="17" t="n">
        <v>1</v>
      </c>
      <c r="I101" s="16" t="inlineStr">
        <is>
          <t>ELEVATION A</t>
        </is>
      </c>
      <c r="J101" s="16" t="inlineStr">
        <is>
          <t>Left side, below countertop</t>
        </is>
      </c>
    </row>
    <row r="102">
      <c r="A102" s="16" t="n">
        <v>22</v>
      </c>
      <c r="B102" s="10" t="inlineStr">
        <is>
          <t>MED6-ADA</t>
        </is>
      </c>
      <c r="C102" s="16" t="inlineStr">
        <is>
          <t>medicine_cabinet 5.9"W × 11.8"H</t>
        </is>
      </c>
      <c r="D102" s="16" t="inlineStr">
        <is>
          <t>Medicine Cabinet</t>
        </is>
      </c>
      <c r="E102" s="17" t="n">
        <v>5.9</v>
      </c>
      <c r="F102" s="17" t="n">
        <v>11.8</v>
      </c>
      <c r="G102" s="17" t="n">
        <v>5.1</v>
      </c>
      <c r="H102" s="17" t="n">
        <v>1</v>
      </c>
      <c r="I102" s="16" t="inlineStr">
        <is>
          <t>ELEVATION A</t>
        </is>
      </c>
      <c r="J102" s="16" t="inlineStr">
        <is>
          <t>Above vanity</t>
        </is>
      </c>
    </row>
    <row r="103">
      <c r="A103" s="16" t="n">
        <v>23</v>
      </c>
      <c r="B103" s="10" t="inlineStr">
        <is>
          <t>LIN12-ADA</t>
        </is>
      </c>
      <c r="C103" s="16" t="inlineStr">
        <is>
          <t>linen 11.8"W × 23.6"H</t>
        </is>
      </c>
      <c r="D103" s="16" t="inlineStr">
        <is>
          <t>Linen</t>
        </is>
      </c>
      <c r="E103" s="17" t="n">
        <v>11.8</v>
      </c>
      <c r="F103" s="17" t="n">
        <v>23.6</v>
      </c>
      <c r="G103" s="17" t="n">
        <v>13</v>
      </c>
      <c r="H103" s="17" t="n">
        <v>1</v>
      </c>
      <c r="I103" s="16" t="inlineStr">
        <is>
          <t>ELEVATION A</t>
        </is>
      </c>
      <c r="J103" s="16" t="inlineStr">
        <is>
          <t>Right side, floor to ceiling</t>
        </is>
      </c>
    </row>
    <row r="104">
      <c r="A104" s="16" t="n">
        <v>24</v>
      </c>
      <c r="B104" s="10" t="inlineStr">
        <is>
          <t>VAN47-ADA</t>
        </is>
      </c>
      <c r="C104" s="16" t="inlineStr">
        <is>
          <t>vanity 47.2"W × 34.3"H</t>
        </is>
      </c>
      <c r="D104" s="16" t="inlineStr">
        <is>
          <t>Vanity</t>
        </is>
      </c>
      <c r="E104" s="17" t="n">
        <v>47.2</v>
      </c>
      <c r="F104" s="17" t="n">
        <v>34.3</v>
      </c>
      <c r="G104" s="17" t="n">
        <v>20.9</v>
      </c>
      <c r="H104" s="17" t="n">
        <v>1</v>
      </c>
      <c r="I104" s="16" t="inlineStr">
        <is>
          <t>ELEVATION_B</t>
        </is>
      </c>
      <c r="J104" s="16" t="inlineStr">
        <is>
          <t>Left side, below sink</t>
        </is>
      </c>
    </row>
    <row r="105">
      <c r="A105" s="16" t="n">
        <v>25</v>
      </c>
      <c r="B105" s="10" t="inlineStr">
        <is>
          <t>MED30-ADA</t>
        </is>
      </c>
      <c r="C105" s="16" t="inlineStr">
        <is>
          <t>medicine_cabinet 30.0"W × 11.8"H</t>
        </is>
      </c>
      <c r="D105" s="16" t="inlineStr">
        <is>
          <t>Medicine Cabinet</t>
        </is>
      </c>
      <c r="E105" s="17" t="n">
        <v>30</v>
      </c>
      <c r="F105" s="17" t="n">
        <v>11.8</v>
      </c>
      <c r="G105" s="17" t="n">
        <v>13</v>
      </c>
      <c r="H105" s="17" t="n">
        <v>1</v>
      </c>
      <c r="I105" s="16" t="inlineStr">
        <is>
          <t>ELEVATION_B</t>
        </is>
      </c>
      <c r="J105" s="16" t="inlineStr">
        <is>
          <t>Above vanity</t>
        </is>
      </c>
    </row>
    <row r="106">
      <c r="A106" s="16" t="n">
        <v>26</v>
      </c>
      <c r="B106" s="10" t="inlineStr">
        <is>
          <t>LIN16-ADA</t>
        </is>
      </c>
      <c r="C106" s="16" t="inlineStr">
        <is>
          <t>linen 15.7"W × 23.6"H</t>
        </is>
      </c>
      <c r="D106" s="16" t="inlineStr">
        <is>
          <t>Linen</t>
        </is>
      </c>
      <c r="E106" s="17" t="n">
        <v>15.7</v>
      </c>
      <c r="F106" s="17" t="n">
        <v>23.6</v>
      </c>
      <c r="G106" s="17" t="n">
        <v>23.6</v>
      </c>
      <c r="H106" s="17" t="n">
        <v>1</v>
      </c>
      <c r="I106" s="16" t="inlineStr">
        <is>
          <t>ELEVATION_B</t>
        </is>
      </c>
      <c r="J106" s="16" t="inlineStr">
        <is>
          <t>Right side, floor to ceiling</t>
        </is>
      </c>
    </row>
    <row r="107">
      <c r="A107" s="16" t="n">
        <v>27</v>
      </c>
      <c r="B107" s="10" t="inlineStr">
        <is>
          <t>VAN47-ADA</t>
        </is>
      </c>
      <c r="C107" s="16" t="inlineStr">
        <is>
          <t>vanity 47.2"W × 34.3"H</t>
        </is>
      </c>
      <c r="D107" s="16" t="inlineStr">
        <is>
          <t>Vanity</t>
        </is>
      </c>
      <c r="E107" s="17" t="n">
        <v>47.2</v>
      </c>
      <c r="F107" s="17" t="n">
        <v>34.3</v>
      </c>
      <c r="G107" s="17" t="n">
        <v>20.9</v>
      </c>
      <c r="H107" s="17" t="n">
        <v>1</v>
      </c>
      <c r="I107" s="16" t="inlineStr">
        <is>
          <t>ELEVATION A</t>
        </is>
      </c>
      <c r="J107" s="16" t="inlineStr">
        <is>
          <t>Left side, near sink area</t>
        </is>
      </c>
    </row>
    <row r="108">
      <c r="A108" s="16" t="n">
        <v>28</v>
      </c>
      <c r="B108" s="10" t="inlineStr">
        <is>
          <t>MED30-ADA</t>
        </is>
      </c>
      <c r="C108" s="16" t="inlineStr">
        <is>
          <t>medicine_cabinet 30.0"W × 11.8"H</t>
        </is>
      </c>
      <c r="D108" s="16" t="inlineStr">
        <is>
          <t>Medicine Cabinet</t>
        </is>
      </c>
      <c r="E108" s="17" t="n">
        <v>30</v>
      </c>
      <c r="F108" s="17" t="n">
        <v>11.8</v>
      </c>
      <c r="G108" s="17" t="n">
        <v>13</v>
      </c>
      <c r="H108" s="17" t="n">
        <v>1</v>
      </c>
      <c r="I108" s="16" t="inlineStr">
        <is>
          <t>ELEVATION A</t>
        </is>
      </c>
      <c r="J108" s="16" t="inlineStr">
        <is>
          <t>Above vanity</t>
        </is>
      </c>
    </row>
    <row r="109">
      <c r="A109" s="16" t="n">
        <v>29</v>
      </c>
      <c r="B109" s="10" t="inlineStr">
        <is>
          <t>LIN24-ADA</t>
        </is>
      </c>
      <c r="C109" s="16" t="inlineStr">
        <is>
          <t>linen 23.6"W × 83.9"H</t>
        </is>
      </c>
      <c r="D109" s="16" t="inlineStr">
        <is>
          <t>Linen</t>
        </is>
      </c>
      <c r="E109" s="17" t="n">
        <v>23.6</v>
      </c>
      <c r="F109" s="17" t="n">
        <v>83.90000000000001</v>
      </c>
      <c r="G109" s="17" t="n">
        <v>23.6</v>
      </c>
      <c r="H109" s="17" t="n">
        <v>1</v>
      </c>
      <c r="I109" s="16" t="inlineStr">
        <is>
          <t>ELEVATION A</t>
        </is>
      </c>
      <c r="J109" s="16" t="inlineStr">
        <is>
          <t>Right side, floor to ceiling</t>
        </is>
      </c>
    </row>
    <row r="110">
      <c r="A110" s="16" t="n">
        <v>30</v>
      </c>
      <c r="B110" s="10" t="inlineStr">
        <is>
          <t>VAN35-ADA</t>
        </is>
      </c>
      <c r="C110" s="16" t="inlineStr">
        <is>
          <t>vanity 35.4"W × 34.3"H</t>
        </is>
      </c>
      <c r="D110" s="16" t="inlineStr">
        <is>
          <t>Vanity</t>
        </is>
      </c>
      <c r="E110" s="17" t="n">
        <v>35.4</v>
      </c>
      <c r="F110" s="17" t="n">
        <v>34.3</v>
      </c>
      <c r="G110" s="17" t="n">
        <v>20.9</v>
      </c>
      <c r="H110" s="17" t="n">
        <v>1</v>
      </c>
      <c r="I110" s="16" t="inlineStr">
        <is>
          <t>Section: VANITY</t>
        </is>
      </c>
      <c r="J110" s="16" t="inlineStr">
        <is>
          <t>Under sink, near center</t>
        </is>
      </c>
    </row>
    <row r="111">
      <c r="A111" s="16" t="n">
        <v>31</v>
      </c>
      <c r="B111" s="10" t="inlineStr">
        <is>
          <t>MED12-ADA</t>
        </is>
      </c>
      <c r="C111" s="16" t="inlineStr">
        <is>
          <t>medicine_cabinet 11.8"W × 11.8"H</t>
        </is>
      </c>
      <c r="D111" s="16" t="inlineStr">
        <is>
          <t>Medicine Cabinet</t>
        </is>
      </c>
      <c r="E111" s="17" t="n">
        <v>11.8</v>
      </c>
      <c r="F111" s="17" t="n">
        <v>11.8</v>
      </c>
      <c r="G111" s="17" t="n">
        <v>5.1</v>
      </c>
      <c r="H111" s="17" t="n">
        <v>1</v>
      </c>
      <c r="I111" s="16" t="inlineStr">
        <is>
          <t>Section: VANITY</t>
        </is>
      </c>
      <c r="J111" s="16" t="inlineStr">
        <is>
          <t>Above vanity</t>
        </is>
      </c>
    </row>
    <row r="112">
      <c r="A112" s="16" t="n">
        <v>32</v>
      </c>
      <c r="B112" s="10" t="inlineStr">
        <is>
          <t>LIN16-ADA</t>
        </is>
      </c>
      <c r="C112" s="16" t="inlineStr">
        <is>
          <t>linen 15.7"W × 23.6"H</t>
        </is>
      </c>
      <c r="D112" s="16" t="inlineStr">
        <is>
          <t>Linen</t>
        </is>
      </c>
      <c r="E112" s="17" t="n">
        <v>15.7</v>
      </c>
      <c r="F112" s="17" t="n">
        <v>23.6</v>
      </c>
      <c r="G112" s="17" t="n">
        <v>13</v>
      </c>
      <c r="H112" s="17" t="n">
        <v>1</v>
      </c>
      <c r="I112" s="16" t="inlineStr">
        <is>
          <t>Section: VANITY</t>
        </is>
      </c>
      <c r="J112" s="16" t="inlineStr">
        <is>
          <t>Left of vanity</t>
        </is>
      </c>
    </row>
    <row r="113">
      <c r="A113" s="16" t="n">
        <v>33</v>
      </c>
      <c r="B113" s="10" t="inlineStr">
        <is>
          <t>VAN47-ADA</t>
        </is>
      </c>
      <c r="C113" s="16" t="inlineStr">
        <is>
          <t>vanity 47.2"W × 34.3"H</t>
        </is>
      </c>
      <c r="D113" s="16" t="inlineStr">
        <is>
          <t>Vanity</t>
        </is>
      </c>
      <c r="E113" s="17" t="n">
        <v>47.2</v>
      </c>
      <c r="F113" s="17" t="n">
        <v>34.3</v>
      </c>
      <c r="G113" s="17" t="n">
        <v>20.9</v>
      </c>
      <c r="H113" s="17" t="n">
        <v>1</v>
      </c>
      <c r="I113" s="16" t="inlineStr">
        <is>
          <t>ELEVATION A</t>
        </is>
      </c>
      <c r="J113" s="16" t="inlineStr">
        <is>
          <t>Left side, near sink area</t>
        </is>
      </c>
    </row>
    <row r="114">
      <c r="A114" s="16" t="n">
        <v>34</v>
      </c>
      <c r="B114" s="10" t="inlineStr">
        <is>
          <t>MED30-ADA</t>
        </is>
      </c>
      <c r="C114" s="16" t="inlineStr">
        <is>
          <t>medicine_cabinet 30.0"W × 11.8"H</t>
        </is>
      </c>
      <c r="D114" s="16" t="inlineStr">
        <is>
          <t>Medicine Cabinet</t>
        </is>
      </c>
      <c r="E114" s="17" t="n">
        <v>30</v>
      </c>
      <c r="F114" s="17" t="n">
        <v>11.8</v>
      </c>
      <c r="G114" s="17" t="n">
        <v>13</v>
      </c>
      <c r="H114" s="17" t="n">
        <v>1</v>
      </c>
      <c r="I114" s="16" t="inlineStr">
        <is>
          <t>ELEVATION A</t>
        </is>
      </c>
      <c r="J114" s="16" t="inlineStr">
        <is>
          <t>Above vanity</t>
        </is>
      </c>
    </row>
    <row r="115">
      <c r="A115" s="16" t="n">
        <v>35</v>
      </c>
      <c r="B115" s="10" t="inlineStr">
        <is>
          <t>LIN24-ADA</t>
        </is>
      </c>
      <c r="C115" s="16" t="inlineStr">
        <is>
          <t>linen 23.6"W × 83.9"H</t>
        </is>
      </c>
      <c r="D115" s="16" t="inlineStr">
        <is>
          <t>Linen</t>
        </is>
      </c>
      <c r="E115" s="17" t="n">
        <v>23.6</v>
      </c>
      <c r="F115" s="17" t="n">
        <v>83.90000000000001</v>
      </c>
      <c r="G115" s="17" t="n">
        <v>23.6</v>
      </c>
      <c r="H115" s="17" t="n">
        <v>1</v>
      </c>
      <c r="I115" s="16" t="inlineStr">
        <is>
          <t>ELEVATION A</t>
        </is>
      </c>
      <c r="J115" s="16" t="inlineStr">
        <is>
          <t>Right side, tall cabinet</t>
        </is>
      </c>
    </row>
    <row r="116">
      <c r="A116" s="16" t="n">
        <v>36</v>
      </c>
      <c r="B116" s="10" t="inlineStr">
        <is>
          <t>VAN35-ADA</t>
        </is>
      </c>
      <c r="C116" s="16" t="inlineStr">
        <is>
          <t>vanity 35.4"W × 34.3"H</t>
        </is>
      </c>
      <c r="D116" s="16" t="inlineStr">
        <is>
          <t>Vanity</t>
        </is>
      </c>
      <c r="E116" s="17" t="n">
        <v>35.4</v>
      </c>
      <c r="F116" s="17" t="n">
        <v>34.3</v>
      </c>
      <c r="G116" s="17" t="n">
        <v>20.9</v>
      </c>
      <c r="H116" s="17" t="n">
        <v>1</v>
      </c>
      <c r="I116" s="16" t="inlineStr">
        <is>
          <t>ELEVATION A</t>
        </is>
      </c>
      <c r="J116" s="16" t="inlineStr">
        <is>
          <t>Right side, near bottom</t>
        </is>
      </c>
    </row>
    <row r="117">
      <c r="A117" s="16" t="n">
        <v>37</v>
      </c>
      <c r="B117" s="10" t="inlineStr">
        <is>
          <t>MED12-ADA</t>
        </is>
      </c>
      <c r="C117" s="16" t="inlineStr">
        <is>
          <t>medicine_cabinet 11.8"W × 5.9"H</t>
        </is>
      </c>
      <c r="D117" s="16" t="inlineStr">
        <is>
          <t>Medicine Cabinet</t>
        </is>
      </c>
      <c r="E117" s="17" t="n">
        <v>11.8</v>
      </c>
      <c r="F117" s="17" t="n">
        <v>5.9</v>
      </c>
      <c r="G117" s="17" t="n">
        <v>5.9</v>
      </c>
      <c r="H117" s="17" t="n">
        <v>1</v>
      </c>
      <c r="I117" s="16" t="inlineStr">
        <is>
          <t>ELEVATION A</t>
        </is>
      </c>
      <c r="J117" s="16" t="inlineStr">
        <is>
          <t>Above vanity, right side</t>
        </is>
      </c>
    </row>
    <row r="118">
      <c r="A118" s="13" t="inlineStr">
        <is>
          <t>BATHROOM SUBTOTALS</t>
        </is>
      </c>
      <c r="B118" s="25" t="n"/>
      <c r="C118" s="25" t="n"/>
      <c r="D118" s="25" t="n"/>
      <c r="E118" s="25" t="n"/>
      <c r="F118" s="25" t="n"/>
      <c r="G118" s="25" t="n"/>
      <c r="H118" s="13" t="n">
        <v>37</v>
      </c>
      <c r="I118" s="25" t="n"/>
      <c r="J118" s="25" t="n"/>
    </row>
    <row r="119"/>
    <row r="120">
      <c r="A120" s="13" t="inlineStr">
        <is>
          <t>UNIT A1 GRAND TOTAL</t>
        </is>
      </c>
      <c r="B120" s="25" t="n"/>
      <c r="C120" s="25" t="n"/>
      <c r="D120" s="25" t="n"/>
      <c r="E120" s="25" t="n"/>
      <c r="F120" s="25" t="n"/>
      <c r="G120" s="25" t="n"/>
      <c r="H120" s="33" t="n">
        <v>102</v>
      </c>
      <c r="I120" s="25" t="n"/>
      <c r="J120" s="25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42"/>
  <sheetViews>
    <sheetView workbookViewId="0">
      <selection activeCell="A1" sqref="A1"/>
    </sheetView>
  </sheetViews>
  <sheetFormatPr baseColWidth="8" defaultRowHeight="15"/>
  <cols>
    <col width="52" customWidth="1" min="1" max="1"/>
    <col width="46" customWidth="1" min="2" max="2"/>
    <col width="34" customWidth="1" min="3" max="3"/>
    <col width="18" customWidth="1" min="4" max="4"/>
    <col width="14" customWidth="1" min="5" max="5"/>
    <col width="27" customWidth="1" min="6" max="6"/>
    <col width="10" customWidth="1" min="7" max="7"/>
    <col width="10" customWidth="1" min="8" max="8"/>
    <col width="25" customWidth="1" min="9" max="9"/>
    <col width="32" customWidth="1" min="10" max="10"/>
  </cols>
  <sheetData>
    <row r="1">
      <c r="A1" s="1" t="inlineStr">
        <is>
          <t>CABINET SHOP DRAWING — UNIT SCHEDULE</t>
        </is>
      </c>
    </row>
    <row r="2">
      <c r="A2" s="2" t="inlineStr">
        <is>
          <t>Atlantic Pacific Communities  |  Corwil Architects</t>
        </is>
      </c>
    </row>
    <row r="3"/>
    <row r="4">
      <c r="A4" s="3" t="inlineStr">
        <is>
          <t>PROJECT:</t>
        </is>
      </c>
      <c r="B4" s="5" t="inlineStr">
        <is>
          <t>CASA FAMILIA</t>
        </is>
      </c>
      <c r="E4" s="3" t="inlineStr">
        <is>
          <t>UNIT TYPE:</t>
        </is>
      </c>
      <c r="F4" s="3" t="inlineStr">
        <is>
          <t>A2-ADA</t>
        </is>
      </c>
      <c r="I4" s="3" t="inlineStr">
        <is>
          <t>DATE:</t>
        </is>
      </c>
      <c r="J4" s="5">
        <f>TODAY()</f>
        <v/>
      </c>
    </row>
    <row r="5">
      <c r="A5" s="3" t="inlineStr">
        <is>
          <t>ADDRESS:</t>
        </is>
      </c>
      <c r="B5" s="5" t="inlineStr">
        <is>
          <t>10951 SW 84th St., Miami-Dade, Florida 33173</t>
        </is>
      </c>
      <c r="E5" s="3" t="inlineStr">
        <is>
          <t>DESCRIPTION:</t>
        </is>
      </c>
      <c r="F5" s="5" t="inlineStr">
        <is>
          <t>Fully Accessible ADA Unit</t>
        </is>
      </c>
      <c r="I5" s="3" t="inlineStr">
        <is>
          <t>PREPARED BY:</t>
        </is>
      </c>
      <c r="J5" s="5" t="inlineStr">
        <is>
          <t>AI Estimation System</t>
        </is>
      </c>
    </row>
    <row r="6">
      <c r="A6" s="3" t="inlineStr">
        <is>
          <t>DRAWING REF:</t>
        </is>
      </c>
      <c r="B6" s="5" t="inlineStr">
        <is>
          <t>CASA FAMILIA Unit Plans</t>
        </is>
      </c>
      <c r="E6" s="3" t="inlineStr">
        <is>
          <t>FINISH TIER:</t>
        </is>
      </c>
      <c r="F6" s="5" t="inlineStr">
        <is>
          <t>Standard 1</t>
        </is>
      </c>
    </row>
    <row r="7"/>
    <row r="8">
      <c r="A8" s="32" t="inlineStr">
        <is>
          <t>SECTION 1 — KITCHEN CABINETS</t>
        </is>
      </c>
    </row>
    <row r="9"/>
    <row r="10">
      <c r="A10" s="9" t="inlineStr">
        <is>
          <t>Item</t>
        </is>
      </c>
      <c r="B10" s="9" t="inlineStr">
        <is>
          <t>Cabinet Code</t>
        </is>
      </c>
      <c r="C10" s="9" t="inlineStr">
        <is>
          <t>Description</t>
        </is>
      </c>
      <c r="D10" s="9" t="inlineStr">
        <is>
          <t>Type</t>
        </is>
      </c>
      <c r="E10" s="9" t="inlineStr">
        <is>
          <t>W (in)</t>
        </is>
      </c>
      <c r="F10" s="9" t="inlineStr">
        <is>
          <t>H (in)</t>
        </is>
      </c>
      <c r="G10" s="9" t="inlineStr">
        <is>
          <t>D (in)</t>
        </is>
      </c>
      <c r="H10" s="9" t="inlineStr">
        <is>
          <t>Qty</t>
        </is>
      </c>
      <c r="I10" s="9" t="inlineStr">
        <is>
          <t>Elev. Ref.</t>
        </is>
      </c>
      <c r="J10" s="9" t="inlineStr">
        <is>
          <t>Location Note</t>
        </is>
      </c>
    </row>
    <row r="11">
      <c r="A11" s="16" t="n">
        <v>1</v>
      </c>
      <c r="B11" s="10" t="inlineStr">
        <is>
          <t>B24-ADA</t>
        </is>
      </c>
      <c r="C11" s="16" t="inlineStr">
        <is>
          <t>base 23.6"W × 34.0"H</t>
        </is>
      </c>
      <c r="D11" s="16" t="inlineStr">
        <is>
          <t>Base</t>
        </is>
      </c>
      <c r="E11" s="17" t="n">
        <v>23.6</v>
      </c>
      <c r="F11" s="17" t="n">
        <v>34</v>
      </c>
      <c r="G11" s="17" t="n">
        <v>23.6</v>
      </c>
      <c r="H11" s="17" t="n">
        <v>1</v>
      </c>
      <c r="I11" s="16" t="inlineStr">
        <is>
          <t>ELEVATION A</t>
        </is>
      </c>
      <c r="J11" s="16" t="inlineStr">
        <is>
          <t>Under sink, near left wall</t>
        </is>
      </c>
    </row>
    <row r="12">
      <c r="A12" s="16" t="n">
        <v>2</v>
      </c>
      <c r="B12" s="10" t="inlineStr">
        <is>
          <t>B18-ADA</t>
        </is>
      </c>
      <c r="C12" s="16" t="inlineStr">
        <is>
          <t>base 17.7"W × 34.0"H</t>
        </is>
      </c>
      <c r="D12" s="16" t="inlineStr">
        <is>
          <t>Base</t>
        </is>
      </c>
      <c r="E12" s="17" t="n">
        <v>17.7</v>
      </c>
      <c r="F12" s="17" t="n">
        <v>34</v>
      </c>
      <c r="G12" s="17" t="n">
        <v>23.6</v>
      </c>
      <c r="H12" s="17" t="n">
        <v>1</v>
      </c>
      <c r="I12" s="16" t="inlineStr">
        <is>
          <t>ELEVATION A</t>
        </is>
      </c>
      <c r="J12" s="16" t="inlineStr">
        <is>
          <t>Right of sink, near wall</t>
        </is>
      </c>
    </row>
    <row r="13">
      <c r="A13" s="16" t="n">
        <v>3</v>
      </c>
      <c r="B13" s="10" t="inlineStr">
        <is>
          <t>W24-12-ADA</t>
        </is>
      </c>
      <c r="C13" s="16" t="inlineStr">
        <is>
          <t>upper_wall 23.6"W × 11.8"H</t>
        </is>
      </c>
      <c r="D13" s="16" t="inlineStr">
        <is>
          <t>Upper Wall</t>
        </is>
      </c>
      <c r="E13" s="17" t="n">
        <v>23.6</v>
      </c>
      <c r="F13" s="17" t="n">
        <v>11.8</v>
      </c>
      <c r="G13" s="17" t="n">
        <v>13</v>
      </c>
      <c r="H13" s="17" t="n">
        <v>1</v>
      </c>
      <c r="I13" s="16" t="inlineStr">
        <is>
          <t>BATHROOM ELEVATION</t>
        </is>
      </c>
      <c r="J13" s="16" t="inlineStr">
        <is>
          <t>Left wall, above sink</t>
        </is>
      </c>
    </row>
    <row r="14">
      <c r="A14" s="16" t="n">
        <v>4</v>
      </c>
      <c r="B14" s="10" t="inlineStr">
        <is>
          <t>W14-12-ADA</t>
        </is>
      </c>
      <c r="C14" s="16" t="inlineStr">
        <is>
          <t>upper_wall 13.8"W × 11.8"H</t>
        </is>
      </c>
      <c r="D14" s="16" t="inlineStr">
        <is>
          <t>Upper Wall</t>
        </is>
      </c>
      <c r="E14" s="17" t="n">
        <v>13.8</v>
      </c>
      <c r="F14" s="17" t="n">
        <v>11.8</v>
      </c>
      <c r="G14" s="17" t="n">
        <v>13</v>
      </c>
      <c r="H14" s="17" t="n">
        <v>1</v>
      </c>
      <c r="I14" s="16" t="inlineStr">
        <is>
          <t>BATHROOM ELEVATION</t>
        </is>
      </c>
      <c r="J14" s="16" t="inlineStr">
        <is>
          <t>Left wall, above toilet</t>
        </is>
      </c>
    </row>
    <row r="15">
      <c r="A15" s="16" t="n">
        <v>5</v>
      </c>
      <c r="B15" s="10" t="inlineStr">
        <is>
          <t>B24-ADA</t>
        </is>
      </c>
      <c r="C15" s="16" t="inlineStr">
        <is>
          <t>base 23.6"W × 34.0"H</t>
        </is>
      </c>
      <c r="D15" s="16" t="inlineStr">
        <is>
          <t>Base</t>
        </is>
      </c>
      <c r="E15" s="17" t="n">
        <v>23.6</v>
      </c>
      <c r="F15" s="17" t="n">
        <v>34</v>
      </c>
      <c r="G15" s="17" t="n">
        <v>23.6</v>
      </c>
      <c r="H15" s="17" t="n">
        <v>1</v>
      </c>
      <c r="I15" s="16" t="inlineStr">
        <is>
          <t>BATHROOM ELEVATION</t>
        </is>
      </c>
      <c r="J15" s="16" t="inlineStr">
        <is>
          <t>Under sink</t>
        </is>
      </c>
    </row>
    <row r="16">
      <c r="A16" s="16" t="n">
        <v>6</v>
      </c>
      <c r="B16" s="10" t="inlineStr">
        <is>
          <t>B24-ADA</t>
        </is>
      </c>
      <c r="C16" s="16" t="inlineStr">
        <is>
          <t>base 23.6"W × 34.0"H</t>
        </is>
      </c>
      <c r="D16" s="16" t="inlineStr">
        <is>
          <t>Base</t>
        </is>
      </c>
      <c r="E16" s="17" t="n">
        <v>23.6</v>
      </c>
      <c r="F16" s="17" t="n">
        <v>34</v>
      </c>
      <c r="G16" s="17" t="n">
        <v>23.6</v>
      </c>
      <c r="H16" s="17" t="n">
        <v>1</v>
      </c>
      <c r="I16" s="16" t="inlineStr">
        <is>
          <t>ELEVATION A</t>
        </is>
      </c>
      <c r="J16" s="16" t="inlineStr">
        <is>
          <t>Under countertop, near sink</t>
        </is>
      </c>
    </row>
    <row r="17">
      <c r="A17" s="16" t="n">
        <v>7</v>
      </c>
      <c r="B17" s="10" t="inlineStr">
        <is>
          <t>B18-ADA</t>
        </is>
      </c>
      <c r="C17" s="16" t="inlineStr">
        <is>
          <t>base 17.7"W × 34.0"H</t>
        </is>
      </c>
      <c r="D17" s="16" t="inlineStr">
        <is>
          <t>Base</t>
        </is>
      </c>
      <c r="E17" s="17" t="n">
        <v>17.7</v>
      </c>
      <c r="F17" s="17" t="n">
        <v>34</v>
      </c>
      <c r="G17" s="17" t="n">
        <v>23.6</v>
      </c>
      <c r="H17" s="17" t="n">
        <v>1</v>
      </c>
      <c r="I17" s="16" t="inlineStr">
        <is>
          <t>ELEVATION A</t>
        </is>
      </c>
      <c r="J17" s="16" t="inlineStr">
        <is>
          <t>Adjacent to dishwasher</t>
        </is>
      </c>
    </row>
    <row r="18">
      <c r="A18" s="16" t="n">
        <v>8</v>
      </c>
      <c r="B18" s="10" t="inlineStr">
        <is>
          <t>DWA18-ADA</t>
        </is>
      </c>
      <c r="C18" s="16" t="inlineStr">
        <is>
          <t>dw_adjacent 17.7"W × 34.0"H</t>
        </is>
      </c>
      <c r="D18" s="16" t="inlineStr">
        <is>
          <t>Dw Adjacent</t>
        </is>
      </c>
      <c r="E18" s="17" t="n">
        <v>17.7</v>
      </c>
      <c r="F18" s="17" t="n">
        <v>34</v>
      </c>
      <c r="G18" s="17" t="n">
        <v>23.6</v>
      </c>
      <c r="H18" s="17" t="n">
        <v>1</v>
      </c>
      <c r="I18" s="16" t="inlineStr">
        <is>
          <t>ELEVATION A</t>
        </is>
      </c>
      <c r="J18" s="16" t="inlineStr">
        <is>
          <t>Next to dishwasher</t>
        </is>
      </c>
    </row>
    <row r="19">
      <c r="A19" s="16" t="n">
        <v>9</v>
      </c>
      <c r="B19" s="10" t="inlineStr">
        <is>
          <t>B24-ADA</t>
        </is>
      </c>
      <c r="C19" s="16" t="inlineStr">
        <is>
          <t>base 23.6"W × 34.0"H</t>
        </is>
      </c>
      <c r="D19" s="16" t="inlineStr">
        <is>
          <t>Base</t>
        </is>
      </c>
      <c r="E19" s="17" t="n">
        <v>23.6</v>
      </c>
      <c r="F19" s="17" t="n">
        <v>34</v>
      </c>
      <c r="G19" s="17" t="n">
        <v>23.6</v>
      </c>
      <c r="H19" s="17" t="n">
        <v>1</v>
      </c>
      <c r="I19" s="16" t="inlineStr">
        <is>
          <t>ELEVATION A</t>
        </is>
      </c>
      <c r="J19" s="16" t="inlineStr">
        <is>
          <t>Under countertop, near refrige</t>
        </is>
      </c>
    </row>
    <row r="20">
      <c r="A20" s="16" t="n">
        <v>10</v>
      </c>
      <c r="B20" s="10" t="inlineStr">
        <is>
          <t>W30-12-ADA</t>
        </is>
      </c>
      <c r="C20" s="16" t="inlineStr">
        <is>
          <t>upper_wall 30.0"W × 11.8"H</t>
        </is>
      </c>
      <c r="D20" s="16" t="inlineStr">
        <is>
          <t>Upper Wall</t>
        </is>
      </c>
      <c r="E20" s="17" t="n">
        <v>30</v>
      </c>
      <c r="F20" s="17" t="n">
        <v>11.8</v>
      </c>
      <c r="G20" s="17" t="n">
        <v>13</v>
      </c>
      <c r="H20" s="17" t="n">
        <v>1</v>
      </c>
      <c r="I20" s="16" t="inlineStr">
        <is>
          <t>ELEVATION A</t>
        </is>
      </c>
      <c r="J20" s="16" t="inlineStr">
        <is>
          <t>Above countertop, near range</t>
        </is>
      </c>
    </row>
    <row r="21">
      <c r="A21" s="16" t="n">
        <v>11</v>
      </c>
      <c r="B21" s="10" t="inlineStr">
        <is>
          <t>MW30-15-ADA</t>
        </is>
      </c>
      <c r="C21" s="16" t="inlineStr">
        <is>
          <t>microwave_shelf 30.0"W × 15.0"H</t>
        </is>
      </c>
      <c r="D21" s="16" t="inlineStr">
        <is>
          <t>Microwave Shelf</t>
        </is>
      </c>
      <c r="E21" s="17" t="n">
        <v>30</v>
      </c>
      <c r="F21" s="17" t="n">
        <v>15</v>
      </c>
      <c r="G21" s="17" t="n">
        <v>13</v>
      </c>
      <c r="H21" s="17" t="n">
        <v>1</v>
      </c>
      <c r="I21" s="16" t="inlineStr">
        <is>
          <t>ELEVATION A</t>
        </is>
      </c>
      <c r="J21" s="16" t="inlineStr">
        <is>
          <t>Above range</t>
        </is>
      </c>
    </row>
    <row r="22">
      <c r="A22" s="16" t="n">
        <v>12</v>
      </c>
      <c r="B22" s="10" t="inlineStr">
        <is>
          <t>T12-84-ADA</t>
        </is>
      </c>
      <c r="C22" s="16" t="inlineStr">
        <is>
          <t>pantry 11.8"W × 83.9"H</t>
        </is>
      </c>
      <c r="D22" s="16" t="inlineStr">
        <is>
          <t>Pantry</t>
        </is>
      </c>
      <c r="E22" s="17" t="n">
        <v>11.8</v>
      </c>
      <c r="F22" s="17" t="n">
        <v>83.90000000000001</v>
      </c>
      <c r="G22" s="17" t="n">
        <v>23.6</v>
      </c>
      <c r="H22" s="17" t="n">
        <v>1</v>
      </c>
      <c r="I22" s="16" t="inlineStr">
        <is>
          <t>ELEVATION A</t>
        </is>
      </c>
      <c r="J22" s="16" t="inlineStr">
        <is>
          <t>Tall cabinet near refrigerator</t>
        </is>
      </c>
    </row>
    <row r="23">
      <c r="A23" s="16" t="n">
        <v>13</v>
      </c>
      <c r="B23" s="10" t="inlineStr">
        <is>
          <t>W24-12-ADA</t>
        </is>
      </c>
      <c r="C23" s="16" t="inlineStr">
        <is>
          <t>upper_wall 23.6"W × 11.8"H</t>
        </is>
      </c>
      <c r="D23" s="16" t="inlineStr">
        <is>
          <t>Upper Wall</t>
        </is>
      </c>
      <c r="E23" s="17" t="n">
        <v>23.6</v>
      </c>
      <c r="F23" s="17" t="n">
        <v>11.8</v>
      </c>
      <c r="G23" s="17" t="n">
        <v>13</v>
      </c>
      <c r="H23" s="17" t="n">
        <v>1</v>
      </c>
      <c r="I23" s="16" t="inlineStr">
        <is>
          <t>ELEVATION A</t>
        </is>
      </c>
      <c r="J23" s="16" t="inlineStr">
        <is>
          <t>Left of range</t>
        </is>
      </c>
    </row>
    <row r="24">
      <c r="A24" s="16" t="n">
        <v>14</v>
      </c>
      <c r="B24" s="10" t="inlineStr">
        <is>
          <t>W6-12-ADA</t>
        </is>
      </c>
      <c r="C24" s="16" t="inlineStr">
        <is>
          <t>upper_wall 5.9"W × 11.8"H</t>
        </is>
      </c>
      <c r="D24" s="16" t="inlineStr">
        <is>
          <t>Upper Wall</t>
        </is>
      </c>
      <c r="E24" s="17" t="n">
        <v>5.9</v>
      </c>
      <c r="F24" s="17" t="n">
        <v>11.8</v>
      </c>
      <c r="G24" s="17" t="n">
        <v>13</v>
      </c>
      <c r="H24" s="17" t="n">
        <v>1</v>
      </c>
      <c r="I24" s="16" t="inlineStr">
        <is>
          <t>ELEVATION A</t>
        </is>
      </c>
      <c r="J24" s="16" t="inlineStr">
        <is>
          <t>Left of range, above cabinet</t>
        </is>
      </c>
    </row>
    <row r="25">
      <c r="A25" s="16" t="n">
        <v>15</v>
      </c>
      <c r="B25" s="10" t="inlineStr">
        <is>
          <t>W6-12-ADA</t>
        </is>
      </c>
      <c r="C25" s="16" t="inlineStr">
        <is>
          <t>upper_wall 5.9"W × 11.8"H</t>
        </is>
      </c>
      <c r="D25" s="16" t="inlineStr">
        <is>
          <t>Upper Wall</t>
        </is>
      </c>
      <c r="E25" s="17" t="n">
        <v>5.9</v>
      </c>
      <c r="F25" s="17" t="n">
        <v>11.8</v>
      </c>
      <c r="G25" s="17" t="n">
        <v>13</v>
      </c>
      <c r="H25" s="17" t="n">
        <v>1</v>
      </c>
      <c r="I25" s="16" t="inlineStr">
        <is>
          <t>ELEVATION A</t>
        </is>
      </c>
      <c r="J25" s="16" t="inlineStr">
        <is>
          <t>Right of range</t>
        </is>
      </c>
    </row>
    <row r="26">
      <c r="A26" s="16" t="n">
        <v>16</v>
      </c>
      <c r="B26" s="10" t="inlineStr">
        <is>
          <t>MW30-15-ADA</t>
        </is>
      </c>
      <c r="C26" s="16" t="inlineStr">
        <is>
          <t>microwave_shelf 30.0"W × 15.0"H</t>
        </is>
      </c>
      <c r="D26" s="16" t="inlineStr">
        <is>
          <t>Microwave Shelf</t>
        </is>
      </c>
      <c r="E26" s="17" t="n">
        <v>30</v>
      </c>
      <c r="F26" s="17" t="n">
        <v>15</v>
      </c>
      <c r="G26" s="17" t="n">
        <v>13</v>
      </c>
      <c r="H26" s="17" t="n">
        <v>1</v>
      </c>
      <c r="I26" s="16" t="inlineStr">
        <is>
          <t>ELEVATION A</t>
        </is>
      </c>
      <c r="J26" s="16" t="inlineStr">
        <is>
          <t>Above range</t>
        </is>
      </c>
    </row>
    <row r="27">
      <c r="A27" s="16" t="n">
        <v>17</v>
      </c>
      <c r="B27" s="10" t="inlineStr">
        <is>
          <t>B24-ADA</t>
        </is>
      </c>
      <c r="C27" s="16" t="inlineStr">
        <is>
          <t>base 23.6"W × 34.0"H</t>
        </is>
      </c>
      <c r="D27" s="16" t="inlineStr">
        <is>
          <t>Base</t>
        </is>
      </c>
      <c r="E27" s="17" t="n">
        <v>23.6</v>
      </c>
      <c r="F27" s="17" t="n">
        <v>34</v>
      </c>
      <c r="G27" s="17" t="n">
        <v>23.6</v>
      </c>
      <c r="H27" s="17" t="n">
        <v>1</v>
      </c>
      <c r="I27" s="16" t="inlineStr">
        <is>
          <t>ELEVATION A</t>
        </is>
      </c>
      <c r="J27" s="16" t="inlineStr">
        <is>
          <t>Under sink</t>
        </is>
      </c>
    </row>
    <row r="28">
      <c r="A28" s="16" t="n">
        <v>18</v>
      </c>
      <c r="B28" s="10" t="inlineStr">
        <is>
          <t>DWA12-ADA</t>
        </is>
      </c>
      <c r="C28" s="16" t="inlineStr">
        <is>
          <t>dw_adjacent 11.8"W × 34.0"H</t>
        </is>
      </c>
      <c r="D28" s="16" t="inlineStr">
        <is>
          <t>Dw Adjacent</t>
        </is>
      </c>
      <c r="E28" s="17" t="n">
        <v>11.8</v>
      </c>
      <c r="F28" s="17" t="n">
        <v>34</v>
      </c>
      <c r="G28" s="17" t="n">
        <v>23.6</v>
      </c>
      <c r="H28" s="17" t="n">
        <v>1</v>
      </c>
      <c r="I28" s="16" t="inlineStr">
        <is>
          <t>ELEVATION A</t>
        </is>
      </c>
      <c r="J28" s="16" t="inlineStr">
        <is>
          <t>Adjacent to dishwasher</t>
        </is>
      </c>
    </row>
    <row r="29">
      <c r="A29" s="16" t="n">
        <v>19</v>
      </c>
      <c r="B29" s="10" t="inlineStr">
        <is>
          <t>B16-ADA</t>
        </is>
      </c>
      <c r="C29" s="16" t="inlineStr">
        <is>
          <t>base 15.7"W × 34.0"H</t>
        </is>
      </c>
      <c r="D29" s="16" t="inlineStr">
        <is>
          <t>Base</t>
        </is>
      </c>
      <c r="E29" s="17" t="n">
        <v>15.7</v>
      </c>
      <c r="F29" s="17" t="n">
        <v>34</v>
      </c>
      <c r="G29" s="17" t="n">
        <v>23.6</v>
      </c>
      <c r="H29" s="17" t="n">
        <v>1</v>
      </c>
      <c r="I29" s="16" t="inlineStr">
        <is>
          <t>ELEVATION A</t>
        </is>
      </c>
      <c r="J29" s="16" t="inlineStr">
        <is>
          <t>Right of sink</t>
        </is>
      </c>
    </row>
    <row r="30">
      <c r="A30" s="16" t="n">
        <v>20</v>
      </c>
      <c r="B30" s="10" t="inlineStr">
        <is>
          <t>T12-84-ADA</t>
        </is>
      </c>
      <c r="C30" s="16" t="inlineStr">
        <is>
          <t>pantry 11.8"W × 83.9"H</t>
        </is>
      </c>
      <c r="D30" s="16" t="inlineStr">
        <is>
          <t>Pantry</t>
        </is>
      </c>
      <c r="E30" s="17" t="n">
        <v>11.8</v>
      </c>
      <c r="F30" s="17" t="n">
        <v>83.90000000000001</v>
      </c>
      <c r="G30" s="17" t="n">
        <v>23.6</v>
      </c>
      <c r="H30" s="17" t="n">
        <v>1</v>
      </c>
      <c r="I30" s="16" t="inlineStr">
        <is>
          <t>ELEVATION A</t>
        </is>
      </c>
      <c r="J30" s="16" t="inlineStr">
        <is>
          <t>Tall cabinet right of refriger</t>
        </is>
      </c>
    </row>
    <row r="31">
      <c r="A31" s="16" t="n">
        <v>21</v>
      </c>
      <c r="B31" s="10" t="inlineStr">
        <is>
          <t>B24-ADA</t>
        </is>
      </c>
      <c r="C31" s="16" t="inlineStr">
        <is>
          <t>base 23.6"W × 34.0"H</t>
        </is>
      </c>
      <c r="D31" s="16" t="inlineStr">
        <is>
          <t>Base</t>
        </is>
      </c>
      <c r="E31" s="17" t="n">
        <v>23.6</v>
      </c>
      <c r="F31" s="17" t="n">
        <v>34</v>
      </c>
      <c r="G31" s="17" t="n">
        <v>23.6</v>
      </c>
      <c r="H31" s="17" t="n">
        <v>1</v>
      </c>
      <c r="I31" s="16" t="inlineStr">
        <is>
          <t>BATH</t>
        </is>
      </c>
      <c r="J31" s="16" t="inlineStr">
        <is>
          <t>Left side, bottom</t>
        </is>
      </c>
    </row>
    <row r="32">
      <c r="A32" s="16" t="n">
        <v>22</v>
      </c>
      <c r="B32" s="10" t="inlineStr">
        <is>
          <t>B18-ADA</t>
        </is>
      </c>
      <c r="C32" s="16" t="inlineStr">
        <is>
          <t>base 17.7"W × 34.0"H</t>
        </is>
      </c>
      <c r="D32" s="16" t="inlineStr">
        <is>
          <t>Base</t>
        </is>
      </c>
      <c r="E32" s="17" t="n">
        <v>17.7</v>
      </c>
      <c r="F32" s="17" t="n">
        <v>34</v>
      </c>
      <c r="G32" s="17" t="n">
        <v>23.6</v>
      </c>
      <c r="H32" s="17" t="n">
        <v>1</v>
      </c>
      <c r="I32" s="16" t="inlineStr">
        <is>
          <t>BATH</t>
        </is>
      </c>
      <c r="J32" s="16" t="inlineStr">
        <is>
          <t>Left side, bottom</t>
        </is>
      </c>
    </row>
    <row r="33">
      <c r="A33" s="16" t="n">
        <v>23</v>
      </c>
      <c r="B33" s="10" t="inlineStr">
        <is>
          <t>B24-ADA</t>
        </is>
      </c>
      <c r="C33" s="16" t="inlineStr">
        <is>
          <t>base 23.6"W × 34.0"H</t>
        </is>
      </c>
      <c r="D33" s="16" t="inlineStr">
        <is>
          <t>Base</t>
        </is>
      </c>
      <c r="E33" s="17" t="n">
        <v>23.6</v>
      </c>
      <c r="F33" s="17" t="n">
        <v>34</v>
      </c>
      <c r="G33" s="17" t="n">
        <v>23.6</v>
      </c>
      <c r="H33" s="17" t="n">
        <v>1</v>
      </c>
      <c r="I33" s="16" t="inlineStr">
        <is>
          <t>BATH</t>
        </is>
      </c>
      <c r="J33" s="16" t="inlineStr">
        <is>
          <t>Left side, bottom</t>
        </is>
      </c>
    </row>
    <row r="34">
      <c r="A34" s="16" t="n">
        <v>24</v>
      </c>
      <c r="B34" s="10" t="inlineStr">
        <is>
          <t>B18-ADA</t>
        </is>
      </c>
      <c r="C34" s="16" t="inlineStr">
        <is>
          <t>base 17.7"W × 34.0"H</t>
        </is>
      </c>
      <c r="D34" s="16" t="inlineStr">
        <is>
          <t>Base</t>
        </is>
      </c>
      <c r="E34" s="17" t="n">
        <v>17.7</v>
      </c>
      <c r="F34" s="17" t="n">
        <v>34</v>
      </c>
      <c r="G34" s="17" t="n">
        <v>23.6</v>
      </c>
      <c r="H34" s="17" t="n">
        <v>1</v>
      </c>
      <c r="I34" s="16" t="inlineStr">
        <is>
          <t>BATH</t>
        </is>
      </c>
      <c r="J34" s="16" t="inlineStr">
        <is>
          <t>Center, bottom</t>
        </is>
      </c>
    </row>
    <row r="35">
      <c r="A35" s="16" t="n">
        <v>25</v>
      </c>
      <c r="B35" s="10" t="inlineStr">
        <is>
          <t>W30-12-ADA</t>
        </is>
      </c>
      <c r="C35" s="16" t="inlineStr">
        <is>
          <t>upper_wall 30.0"W × 11.8"H</t>
        </is>
      </c>
      <c r="D35" s="16" t="inlineStr">
        <is>
          <t>Upper Wall</t>
        </is>
      </c>
      <c r="E35" s="17" t="n">
        <v>30</v>
      </c>
      <c r="F35" s="17" t="n">
        <v>11.8</v>
      </c>
      <c r="G35" s="17" t="n">
        <v>13</v>
      </c>
      <c r="H35" s="17" t="n">
        <v>1</v>
      </c>
      <c r="I35" s="16" t="inlineStr">
        <is>
          <t>BATH</t>
        </is>
      </c>
      <c r="J35" s="16" t="inlineStr">
        <is>
          <t>Left of vanity, top</t>
        </is>
      </c>
    </row>
    <row r="36">
      <c r="A36" s="16" t="n">
        <v>26</v>
      </c>
      <c r="B36" s="10" t="inlineStr">
        <is>
          <t>W24-12-ADA</t>
        </is>
      </c>
      <c r="C36" s="16" t="inlineStr">
        <is>
          <t>upper_wall 23.6"W × 11.8"H</t>
        </is>
      </c>
      <c r="D36" s="16" t="inlineStr">
        <is>
          <t>Upper Wall</t>
        </is>
      </c>
      <c r="E36" s="17" t="n">
        <v>23.6</v>
      </c>
      <c r="F36" s="17" t="n">
        <v>11.8</v>
      </c>
      <c r="G36" s="17" t="n">
        <v>13</v>
      </c>
      <c r="H36" s="17" t="n">
        <v>1</v>
      </c>
      <c r="I36" s="16" t="inlineStr">
        <is>
          <t>ELEVATION A</t>
        </is>
      </c>
      <c r="J36" s="16" t="inlineStr">
        <is>
          <t>Left of range</t>
        </is>
      </c>
    </row>
    <row r="37">
      <c r="A37" s="16" t="n">
        <v>27</v>
      </c>
      <c r="B37" s="10" t="inlineStr">
        <is>
          <t>W6-12-ADA</t>
        </is>
      </c>
      <c r="C37" s="16" t="inlineStr">
        <is>
          <t>upper_wall 5.9"W × 11.8"H</t>
        </is>
      </c>
      <c r="D37" s="16" t="inlineStr">
        <is>
          <t>Upper Wall</t>
        </is>
      </c>
      <c r="E37" s="17" t="n">
        <v>5.9</v>
      </c>
      <c r="F37" s="17" t="n">
        <v>11.8</v>
      </c>
      <c r="G37" s="17" t="n">
        <v>13</v>
      </c>
      <c r="H37" s="17" t="n">
        <v>1</v>
      </c>
      <c r="I37" s="16" t="inlineStr">
        <is>
          <t>ELEVATION A</t>
        </is>
      </c>
      <c r="J37" s="16" t="inlineStr">
        <is>
          <t>Left of range, above U8</t>
        </is>
      </c>
    </row>
    <row r="38">
      <c r="A38" s="16" t="n">
        <v>28</v>
      </c>
      <c r="B38" s="10" t="inlineStr">
        <is>
          <t>W16-12-ADA</t>
        </is>
      </c>
      <c r="C38" s="16" t="inlineStr">
        <is>
          <t>upper_wall 15.7"W × 11.8"H</t>
        </is>
      </c>
      <c r="D38" s="16" t="inlineStr">
        <is>
          <t>Upper Wall</t>
        </is>
      </c>
      <c r="E38" s="17" t="n">
        <v>15.7</v>
      </c>
      <c r="F38" s="17" t="n">
        <v>11.8</v>
      </c>
      <c r="G38" s="17" t="n">
        <v>13</v>
      </c>
      <c r="H38" s="17" t="n">
        <v>1</v>
      </c>
      <c r="I38" s="16" t="inlineStr">
        <is>
          <t>ELEVATION A</t>
        </is>
      </c>
      <c r="J38" s="16" t="inlineStr">
        <is>
          <t>Right of range</t>
        </is>
      </c>
    </row>
    <row r="39">
      <c r="A39" s="16" t="n">
        <v>29</v>
      </c>
      <c r="B39" s="10" t="inlineStr">
        <is>
          <t>B24-ADA</t>
        </is>
      </c>
      <c r="C39" s="16" t="inlineStr">
        <is>
          <t>base 23.6"W × 34.0"H</t>
        </is>
      </c>
      <c r="D39" s="16" t="inlineStr">
        <is>
          <t>Base</t>
        </is>
      </c>
      <c r="E39" s="17" t="n">
        <v>23.6</v>
      </c>
      <c r="F39" s="17" t="n">
        <v>34</v>
      </c>
      <c r="G39" s="17" t="n">
        <v>23.6</v>
      </c>
      <c r="H39" s="17" t="n">
        <v>1</v>
      </c>
      <c r="I39" s="16" t="inlineStr">
        <is>
          <t>ELEVATION A</t>
        </is>
      </c>
      <c r="J39" s="16" t="inlineStr">
        <is>
          <t>Under sink</t>
        </is>
      </c>
    </row>
    <row r="40">
      <c r="A40" s="16" t="n">
        <v>30</v>
      </c>
      <c r="B40" s="10" t="inlineStr">
        <is>
          <t>B30-ADA</t>
        </is>
      </c>
      <c r="C40" s="16" t="inlineStr">
        <is>
          <t>base 30.0"W × 34.0"H</t>
        </is>
      </c>
      <c r="D40" s="16" t="inlineStr">
        <is>
          <t>Base</t>
        </is>
      </c>
      <c r="E40" s="17" t="n">
        <v>30</v>
      </c>
      <c r="F40" s="17" t="n">
        <v>34</v>
      </c>
      <c r="G40" s="17" t="n">
        <v>23.6</v>
      </c>
      <c r="H40" s="17" t="n">
        <v>1</v>
      </c>
      <c r="I40" s="16" t="inlineStr">
        <is>
          <t>ELEVATION A</t>
        </is>
      </c>
      <c r="J40" s="16" t="inlineStr">
        <is>
          <t>Adjacent to dishwasher</t>
        </is>
      </c>
    </row>
    <row r="41">
      <c r="A41" s="16" t="n">
        <v>31</v>
      </c>
      <c r="B41" s="10" t="inlineStr">
        <is>
          <t>B18-ADA</t>
        </is>
      </c>
      <c r="C41" s="16" t="inlineStr">
        <is>
          <t>base 17.7"W × 34.0"H</t>
        </is>
      </c>
      <c r="D41" s="16" t="inlineStr">
        <is>
          <t>Base</t>
        </is>
      </c>
      <c r="E41" s="17" t="n">
        <v>17.7</v>
      </c>
      <c r="F41" s="17" t="n">
        <v>34</v>
      </c>
      <c r="G41" s="17" t="n">
        <v>23.6</v>
      </c>
      <c r="H41" s="17" t="n">
        <v>1</v>
      </c>
      <c r="I41" s="16" t="inlineStr">
        <is>
          <t>ELEVATION A</t>
        </is>
      </c>
      <c r="J41" s="16" t="inlineStr">
        <is>
          <t>Right of dishwasher</t>
        </is>
      </c>
    </row>
    <row r="42">
      <c r="A42" s="16" t="n">
        <v>32</v>
      </c>
      <c r="B42" s="10" t="inlineStr">
        <is>
          <t>T12-84-ADA</t>
        </is>
      </c>
      <c r="C42" s="16" t="inlineStr">
        <is>
          <t>pantry 11.8"W × 83.9"H</t>
        </is>
      </c>
      <c r="D42" s="16" t="inlineStr">
        <is>
          <t>Pantry</t>
        </is>
      </c>
      <c r="E42" s="17" t="n">
        <v>11.8</v>
      </c>
      <c r="F42" s="17" t="n">
        <v>83.90000000000001</v>
      </c>
      <c r="G42" s="17" t="n">
        <v>23.6</v>
      </c>
      <c r="H42" s="17" t="n">
        <v>1</v>
      </c>
      <c r="I42" s="16" t="inlineStr">
        <is>
          <t>ELEVATION A</t>
        </is>
      </c>
      <c r="J42" s="16" t="inlineStr">
        <is>
          <t>Tall cabinet, left side</t>
        </is>
      </c>
    </row>
    <row r="43">
      <c r="A43" s="16" t="n">
        <v>33</v>
      </c>
      <c r="B43" s="10" t="inlineStr">
        <is>
          <t>W30-12-ADA</t>
        </is>
      </c>
      <c r="C43" s="16" t="inlineStr">
        <is>
          <t>upper_wall 30.0"W × 11.8"H</t>
        </is>
      </c>
      <c r="D43" s="16" t="inlineStr">
        <is>
          <t>Upper Wall</t>
        </is>
      </c>
      <c r="E43" s="17" t="n">
        <v>30</v>
      </c>
      <c r="F43" s="17" t="n">
        <v>11.8</v>
      </c>
      <c r="G43" s="17" t="n">
        <v>13</v>
      </c>
      <c r="H43" s="17" t="n">
        <v>1</v>
      </c>
      <c r="I43" s="16" t="inlineStr">
        <is>
          <t>ELEVATION A2</t>
        </is>
      </c>
      <c r="J43" s="16" t="inlineStr">
        <is>
          <t>Above countertop, left side</t>
        </is>
      </c>
    </row>
    <row r="44">
      <c r="A44" s="16" t="n">
        <v>34</v>
      </c>
      <c r="B44" s="10" t="inlineStr">
        <is>
          <t>B24-ADA</t>
        </is>
      </c>
      <c r="C44" s="16" t="inlineStr">
        <is>
          <t>base 23.6"W × 34.0"H</t>
        </is>
      </c>
      <c r="D44" s="16" t="inlineStr">
        <is>
          <t>Base</t>
        </is>
      </c>
      <c r="E44" s="17" t="n">
        <v>23.6</v>
      </c>
      <c r="F44" s="17" t="n">
        <v>34</v>
      </c>
      <c r="G44" s="17" t="n">
        <v>23.6</v>
      </c>
      <c r="H44" s="17" t="n">
        <v>1</v>
      </c>
      <c r="I44" s="16" t="inlineStr">
        <is>
          <t>ELEVATION A2</t>
        </is>
      </c>
      <c r="J44" s="16" t="inlineStr">
        <is>
          <t>Bottom, center</t>
        </is>
      </c>
    </row>
    <row r="45">
      <c r="A45" s="16" t="n">
        <v>35</v>
      </c>
      <c r="B45" s="10" t="inlineStr">
        <is>
          <t>B24-ADA</t>
        </is>
      </c>
      <c r="C45" s="16" t="inlineStr">
        <is>
          <t>base 23.6"W × 34.0"H</t>
        </is>
      </c>
      <c r="D45" s="16" t="inlineStr">
        <is>
          <t>Base</t>
        </is>
      </c>
      <c r="E45" s="17" t="n">
        <v>23.6</v>
      </c>
      <c r="F45" s="17" t="n">
        <v>34</v>
      </c>
      <c r="G45" s="17" t="n">
        <v>23.6</v>
      </c>
      <c r="H45" s="17" t="n">
        <v>1</v>
      </c>
      <c r="I45" s="16" t="inlineStr">
        <is>
          <t>UNIT A2 FA KITCHEN EL.</t>
        </is>
      </c>
      <c r="J45" s="16" t="inlineStr">
        <is>
          <t>Left side, under countertop</t>
        </is>
      </c>
    </row>
    <row r="46">
      <c r="A46" s="16" t="n">
        <v>36</v>
      </c>
      <c r="B46" s="10" t="inlineStr">
        <is>
          <t>B18-ADA</t>
        </is>
      </c>
      <c r="C46" s="16" t="inlineStr">
        <is>
          <t>base 17.7"W × 34.0"H</t>
        </is>
      </c>
      <c r="D46" s="16" t="inlineStr">
        <is>
          <t>Base</t>
        </is>
      </c>
      <c r="E46" s="17" t="n">
        <v>17.7</v>
      </c>
      <c r="F46" s="17" t="n">
        <v>34</v>
      </c>
      <c r="G46" s="17" t="n">
        <v>23.6</v>
      </c>
      <c r="H46" s="17" t="n">
        <v>1</v>
      </c>
      <c r="I46" s="16" t="inlineStr">
        <is>
          <t>UNIT A2 FA KITCHEN EL.</t>
        </is>
      </c>
      <c r="J46" s="16" t="inlineStr">
        <is>
          <t>Adjacent to sink</t>
        </is>
      </c>
    </row>
    <row r="47">
      <c r="A47" s="16" t="n">
        <v>37</v>
      </c>
      <c r="B47" s="10" t="inlineStr">
        <is>
          <t>SB35-ADA</t>
        </is>
      </c>
      <c r="C47" s="16" t="inlineStr">
        <is>
          <t>sink_base 35.4"W × 34.0"H</t>
        </is>
      </c>
      <c r="D47" s="16" t="inlineStr">
        <is>
          <t>Sink Base</t>
        </is>
      </c>
      <c r="E47" s="17" t="n">
        <v>35.4</v>
      </c>
      <c r="F47" s="17" t="n">
        <v>34</v>
      </c>
      <c r="G47" s="17" t="n">
        <v>23.6</v>
      </c>
      <c r="H47" s="17" t="n">
        <v>1</v>
      </c>
      <c r="I47" s="16" t="inlineStr">
        <is>
          <t>UNIT A2 FA KITCHEN EL.</t>
        </is>
      </c>
      <c r="J47" s="16" t="inlineStr">
        <is>
          <t>Under sink</t>
        </is>
      </c>
    </row>
    <row r="48">
      <c r="A48" s="16" t="n">
        <v>38</v>
      </c>
      <c r="B48" s="10" t="inlineStr">
        <is>
          <t>DWA6-ADA</t>
        </is>
      </c>
      <c r="C48" s="16" t="inlineStr">
        <is>
          <t>dw_adjacent 5.9"W × 34.0"H</t>
        </is>
      </c>
      <c r="D48" s="16" t="inlineStr">
        <is>
          <t>Dw Adjacent</t>
        </is>
      </c>
      <c r="E48" s="17" t="n">
        <v>5.9</v>
      </c>
      <c r="F48" s="17" t="n">
        <v>34</v>
      </c>
      <c r="G48" s="17" t="n">
        <v>23.6</v>
      </c>
      <c r="H48" s="17" t="n">
        <v>1</v>
      </c>
      <c r="I48" s="16" t="inlineStr">
        <is>
          <t>UNIT A2 FA KITCHEN EL.</t>
        </is>
      </c>
      <c r="J48" s="16" t="inlineStr">
        <is>
          <t>Adjacent to dishwasher</t>
        </is>
      </c>
    </row>
    <row r="49">
      <c r="A49" s="16" t="n">
        <v>39</v>
      </c>
      <c r="B49" s="10" t="inlineStr">
        <is>
          <t>W30-12-ADA</t>
        </is>
      </c>
      <c r="C49" s="16" t="inlineStr">
        <is>
          <t>upper_wall 30.0"W × 11.8"H</t>
        </is>
      </c>
      <c r="D49" s="16" t="inlineStr">
        <is>
          <t>Upper Wall</t>
        </is>
      </c>
      <c r="E49" s="17" t="n">
        <v>30</v>
      </c>
      <c r="F49" s="17" t="n">
        <v>11.8</v>
      </c>
      <c r="G49" s="17" t="n">
        <v>13</v>
      </c>
      <c r="H49" s="17" t="n">
        <v>1</v>
      </c>
      <c r="I49" s="16" t="inlineStr">
        <is>
          <t>UNIT A2 FA KITCHEN EL.</t>
        </is>
      </c>
      <c r="J49" s="16" t="inlineStr">
        <is>
          <t>Above countertop, left side</t>
        </is>
      </c>
    </row>
    <row r="50">
      <c r="A50" s="16" t="n">
        <v>40</v>
      </c>
      <c r="B50" s="10" t="inlineStr">
        <is>
          <t>W30-28-ADA</t>
        </is>
      </c>
      <c r="C50" s="16" t="inlineStr">
        <is>
          <t>upper_wall 30.0"W × 28.3"H</t>
        </is>
      </c>
      <c r="D50" s="16" t="inlineStr">
        <is>
          <t>Upper Wall</t>
        </is>
      </c>
      <c r="E50" s="17" t="n">
        <v>30</v>
      </c>
      <c r="F50" s="17" t="n">
        <v>28.3</v>
      </c>
      <c r="G50" s="17" t="n">
        <v>13</v>
      </c>
      <c r="H50" s="17" t="n">
        <v>1</v>
      </c>
      <c r="I50" s="16" t="inlineStr">
        <is>
          <t>UNIT A2 FA KITCHEN EL.</t>
        </is>
      </c>
      <c r="J50" s="16" t="inlineStr">
        <is>
          <t>Above countertop, right side</t>
        </is>
      </c>
    </row>
    <row r="51">
      <c r="A51" s="16" t="n">
        <v>41</v>
      </c>
      <c r="B51" s="10" t="inlineStr">
        <is>
          <t>T12-84-ADA</t>
        </is>
      </c>
      <c r="C51" s="16" t="inlineStr">
        <is>
          <t>pantry 11.8"W × 83.9"H</t>
        </is>
      </c>
      <c r="D51" s="16" t="inlineStr">
        <is>
          <t>Pantry</t>
        </is>
      </c>
      <c r="E51" s="17" t="n">
        <v>11.8</v>
      </c>
      <c r="F51" s="17" t="n">
        <v>83.90000000000001</v>
      </c>
      <c r="G51" s="17" t="n">
        <v>23.6</v>
      </c>
      <c r="H51" s="17" t="n">
        <v>1</v>
      </c>
      <c r="I51" s="16" t="inlineStr">
        <is>
          <t>UNIT A2 FA KITCHEN EL.</t>
        </is>
      </c>
      <c r="J51" s="16" t="inlineStr">
        <is>
          <t>Tall pantry cabinet</t>
        </is>
      </c>
    </row>
    <row r="52">
      <c r="A52" s="16" t="n">
        <v>42</v>
      </c>
      <c r="B52" s="10" t="inlineStr">
        <is>
          <t>B24-ADA</t>
        </is>
      </c>
      <c r="C52" s="16" t="inlineStr">
        <is>
          <t>base 23.6"W × 34.0"H</t>
        </is>
      </c>
      <c r="D52" s="16" t="inlineStr">
        <is>
          <t>Base</t>
        </is>
      </c>
      <c r="E52" s="17" t="n">
        <v>23.6</v>
      </c>
      <c r="F52" s="17" t="n">
        <v>34</v>
      </c>
      <c r="G52" s="17" t="n">
        <v>23.6</v>
      </c>
      <c r="H52" s="17" t="n">
        <v>1</v>
      </c>
      <c r="I52" s="16" t="inlineStr">
        <is>
          <t>UNIT A2 FA BATHROOM EL.</t>
        </is>
      </c>
      <c r="J52" s="16" t="inlineStr">
        <is>
          <t>Under sink, near left wall</t>
        </is>
      </c>
    </row>
    <row r="53">
      <c r="A53" s="16" t="n">
        <v>43</v>
      </c>
      <c r="B53" s="10" t="inlineStr">
        <is>
          <t>B24-ADA</t>
        </is>
      </c>
      <c r="C53" s="16" t="inlineStr">
        <is>
          <t>base 23.6"W × 34.0"H</t>
        </is>
      </c>
      <c r="D53" s="16" t="inlineStr">
        <is>
          <t>Base</t>
        </is>
      </c>
      <c r="E53" s="17" t="n">
        <v>23.6</v>
      </c>
      <c r="F53" s="17" t="n">
        <v>34</v>
      </c>
      <c r="G53" s="17" t="n">
        <v>23.6</v>
      </c>
      <c r="H53" s="17" t="n">
        <v>1</v>
      </c>
      <c r="I53" s="16" t="inlineStr">
        <is>
          <t>UNIT A1 KITCHEN EL.</t>
        </is>
      </c>
      <c r="J53" s="16" t="inlineStr">
        <is>
          <t>Near left wall, under countert</t>
        </is>
      </c>
    </row>
    <row r="54">
      <c r="A54" s="16" t="n">
        <v>44</v>
      </c>
      <c r="B54" s="10" t="inlineStr">
        <is>
          <t>W30-12-ADA</t>
        </is>
      </c>
      <c r="C54" s="16" t="inlineStr">
        <is>
          <t>upper_wall 30.0"W × 11.8"H</t>
        </is>
      </c>
      <c r="D54" s="16" t="inlineStr">
        <is>
          <t>Upper Wall</t>
        </is>
      </c>
      <c r="E54" s="17" t="n">
        <v>30</v>
      </c>
      <c r="F54" s="17" t="n">
        <v>11.8</v>
      </c>
      <c r="G54" s="17" t="n">
        <v>13</v>
      </c>
      <c r="H54" s="17" t="n">
        <v>1</v>
      </c>
      <c r="I54" s="16" t="inlineStr">
        <is>
          <t>UNIT A1 KITCHEN EL.</t>
        </is>
      </c>
      <c r="J54" s="16" t="inlineStr">
        <is>
          <t>Above countertop, left of sink</t>
        </is>
      </c>
    </row>
    <row r="55">
      <c r="A55" s="16" t="n">
        <v>45</v>
      </c>
      <c r="B55" s="10" t="inlineStr">
        <is>
          <t>B24-ADA</t>
        </is>
      </c>
      <c r="C55" s="16" t="inlineStr">
        <is>
          <t>base 23.6"W × 34.0"H</t>
        </is>
      </c>
      <c r="D55" s="16" t="inlineStr">
        <is>
          <t>Base</t>
        </is>
      </c>
      <c r="E55" s="17" t="n">
        <v>23.6</v>
      </c>
      <c r="F55" s="17" t="n">
        <v>34</v>
      </c>
      <c r="G55" s="17" t="n">
        <v>23.6</v>
      </c>
      <c r="H55" s="17" t="n">
        <v>1</v>
      </c>
      <c r="I55" s="16" t="inlineStr">
        <is>
          <t>BATH</t>
        </is>
      </c>
      <c r="J55" s="16" t="inlineStr">
        <is>
          <t>Left side, under countertop</t>
        </is>
      </c>
    </row>
    <row r="56">
      <c r="A56" s="16" t="n">
        <v>46</v>
      </c>
      <c r="B56" s="10" t="inlineStr">
        <is>
          <t>B18-ADA</t>
        </is>
      </c>
      <c r="C56" s="16" t="inlineStr">
        <is>
          <t>base 17.7"W × 34.0"H</t>
        </is>
      </c>
      <c r="D56" s="16" t="inlineStr">
        <is>
          <t>Base</t>
        </is>
      </c>
      <c r="E56" s="17" t="n">
        <v>17.7</v>
      </c>
      <c r="F56" s="17" t="n">
        <v>34</v>
      </c>
      <c r="G56" s="17" t="n">
        <v>23.6</v>
      </c>
      <c r="H56" s="17" t="n">
        <v>1</v>
      </c>
      <c r="I56" s="16" t="inlineStr">
        <is>
          <t>BATH</t>
        </is>
      </c>
      <c r="J56" s="16" t="inlineStr">
        <is>
          <t>Adjacent to sink</t>
        </is>
      </c>
    </row>
    <row r="57">
      <c r="A57" s="16" t="n">
        <v>47</v>
      </c>
      <c r="B57" s="10" t="inlineStr">
        <is>
          <t>SB24-ADA</t>
        </is>
      </c>
      <c r="C57" s="16" t="inlineStr">
        <is>
          <t>sink_base 23.6"W × 34.0"H</t>
        </is>
      </c>
      <c r="D57" s="16" t="inlineStr">
        <is>
          <t>Sink Base</t>
        </is>
      </c>
      <c r="E57" s="17" t="n">
        <v>23.6</v>
      </c>
      <c r="F57" s="17" t="n">
        <v>34</v>
      </c>
      <c r="G57" s="17" t="n">
        <v>23.6</v>
      </c>
      <c r="H57" s="17" t="n">
        <v>1</v>
      </c>
      <c r="I57" s="16" t="inlineStr">
        <is>
          <t>BATH</t>
        </is>
      </c>
      <c r="J57" s="16" t="inlineStr">
        <is>
          <t>Under sink</t>
        </is>
      </c>
    </row>
    <row r="58">
      <c r="A58" s="16" t="n">
        <v>48</v>
      </c>
      <c r="B58" s="10" t="inlineStr">
        <is>
          <t>W30-12-ADA</t>
        </is>
      </c>
      <c r="C58" s="16" t="inlineStr">
        <is>
          <t>upper_wall 30.0"W × 11.8"H</t>
        </is>
      </c>
      <c r="D58" s="16" t="inlineStr">
        <is>
          <t>Upper Wall</t>
        </is>
      </c>
      <c r="E58" s="17" t="n">
        <v>30</v>
      </c>
      <c r="F58" s="17" t="n">
        <v>11.8</v>
      </c>
      <c r="G58" s="17" t="n">
        <v>13</v>
      </c>
      <c r="H58" s="17" t="n">
        <v>1</v>
      </c>
      <c r="I58" s="16" t="inlineStr">
        <is>
          <t>BATH</t>
        </is>
      </c>
      <c r="J58" s="16" t="inlineStr">
        <is>
          <t>Above countertop</t>
        </is>
      </c>
    </row>
    <row r="59">
      <c r="A59" s="16" t="n">
        <v>49</v>
      </c>
      <c r="B59" s="10" t="inlineStr">
        <is>
          <t>B24-ADA</t>
        </is>
      </c>
      <c r="C59" s="16" t="inlineStr">
        <is>
          <t>base 23.6"W × 34.0"H</t>
        </is>
      </c>
      <c r="D59" s="16" t="inlineStr">
        <is>
          <t>Base</t>
        </is>
      </c>
      <c r="E59" s="17" t="n">
        <v>23.6</v>
      </c>
      <c r="F59" s="17" t="n">
        <v>34</v>
      </c>
      <c r="G59" s="17" t="n">
        <v>23.6</v>
      </c>
      <c r="H59" s="17" t="n">
        <v>1</v>
      </c>
      <c r="I59" s="16" t="inlineStr">
        <is>
          <t>A-6.01</t>
        </is>
      </c>
      <c r="J59" s="16" t="inlineStr">
        <is>
          <t>Under vanity sink</t>
        </is>
      </c>
    </row>
    <row r="60">
      <c r="A60" s="16" t="n">
        <v>50</v>
      </c>
      <c r="B60" s="10" t="inlineStr">
        <is>
          <t>FIL6</t>
        </is>
      </c>
      <c r="C60" s="16" t="inlineStr">
        <is>
          <t>filler 5.9"W × 28.3"H</t>
        </is>
      </c>
      <c r="D60" s="16" t="inlineStr">
        <is>
          <t>Filler</t>
        </is>
      </c>
      <c r="E60" s="17" t="n">
        <v>5.9</v>
      </c>
      <c r="F60" s="17" t="n">
        <v>28.3</v>
      </c>
      <c r="G60" s="17" t="n">
        <v>23.6</v>
      </c>
      <c r="H60" s="17" t="n">
        <v>1</v>
      </c>
      <c r="I60" s="16" t="inlineStr">
        <is>
          <t>A-6.01</t>
        </is>
      </c>
      <c r="J60" s="16" t="inlineStr">
        <is>
          <t>Between base cabinets</t>
        </is>
      </c>
    </row>
    <row r="61">
      <c r="A61" s="16" t="n">
        <v>51</v>
      </c>
      <c r="B61" s="10" t="inlineStr">
        <is>
          <t>B24-ADA</t>
        </is>
      </c>
      <c r="C61" s="16" t="inlineStr">
        <is>
          <t>base 23.6"W × 34.0"H</t>
        </is>
      </c>
      <c r="D61" s="16" t="inlineStr">
        <is>
          <t>Base</t>
        </is>
      </c>
      <c r="E61" s="17" t="n">
        <v>23.6</v>
      </c>
      <c r="F61" s="17" t="n">
        <v>34</v>
      </c>
      <c r="G61" s="17" t="n">
        <v>23.6</v>
      </c>
      <c r="H61" s="17" t="n">
        <v>1</v>
      </c>
      <c r="I61" s="16" t="inlineStr">
        <is>
          <t>ELEVATION A2-ADA</t>
        </is>
      </c>
      <c r="J61" s="16" t="inlineStr">
        <is>
          <t>Under vanity, center</t>
        </is>
      </c>
    </row>
    <row r="62">
      <c r="A62" s="16" t="n">
        <v>52</v>
      </c>
      <c r="B62" s="10" t="inlineStr">
        <is>
          <t>B24-ADA</t>
        </is>
      </c>
      <c r="C62" s="16" t="inlineStr">
        <is>
          <t>base 23.6"W × 34.0"H</t>
        </is>
      </c>
      <c r="D62" s="16" t="inlineStr">
        <is>
          <t>Base</t>
        </is>
      </c>
      <c r="E62" s="17" t="n">
        <v>23.6</v>
      </c>
      <c r="F62" s="17" t="n">
        <v>34</v>
      </c>
      <c r="G62" s="17" t="n">
        <v>23.6</v>
      </c>
      <c r="H62" s="17" t="n">
        <v>1</v>
      </c>
      <c r="I62" s="16" t="inlineStr">
        <is>
          <t>ELEVATION_B</t>
        </is>
      </c>
      <c r="J62" s="16" t="inlineStr">
        <is>
          <t>Right side, adjacent to vanity</t>
        </is>
      </c>
    </row>
    <row r="63">
      <c r="A63" s="16" t="n">
        <v>53</v>
      </c>
      <c r="B63" s="10" t="inlineStr">
        <is>
          <t>FIL2-ADA</t>
        </is>
      </c>
      <c r="C63" s="16" t="inlineStr">
        <is>
          <t>filler 2.0"W × 28.3"H</t>
        </is>
      </c>
      <c r="D63" s="16" t="inlineStr">
        <is>
          <t>Filler</t>
        </is>
      </c>
      <c r="E63" s="17" t="n">
        <v>2</v>
      </c>
      <c r="F63" s="17" t="n">
        <v>28.3</v>
      </c>
      <c r="G63" s="17" t="n">
        <v>13</v>
      </c>
      <c r="H63" s="17" t="n">
        <v>1</v>
      </c>
      <c r="I63" s="16" t="inlineStr">
        <is>
          <t>ELEVATION_B</t>
        </is>
      </c>
      <c r="J63" s="16" t="inlineStr">
        <is>
          <t>Between upper cabinets</t>
        </is>
      </c>
    </row>
    <row r="64">
      <c r="A64" s="16" t="n">
        <v>54</v>
      </c>
      <c r="B64" s="10" t="inlineStr">
        <is>
          <t>W35-15-ADA</t>
        </is>
      </c>
      <c r="C64" s="16" t="inlineStr">
        <is>
          <t>upper_wall 35.4"W × 15.0"H</t>
        </is>
      </c>
      <c r="D64" s="16" t="inlineStr">
        <is>
          <t>Upper Wall</t>
        </is>
      </c>
      <c r="E64" s="17" t="n">
        <v>35.4</v>
      </c>
      <c r="F64" s="17" t="n">
        <v>15</v>
      </c>
      <c r="G64" s="17" t="n">
        <v>13</v>
      </c>
      <c r="H64" s="17" t="n">
        <v>1</v>
      </c>
      <c r="I64" s="16" t="inlineStr">
        <is>
          <t>ELEVATION_B</t>
        </is>
      </c>
      <c r="J64" s="16" t="inlineStr">
        <is>
          <t>Above countertop, right side</t>
        </is>
      </c>
    </row>
    <row r="65">
      <c r="A65" s="16" t="n">
        <v>55</v>
      </c>
      <c r="B65" s="10" t="inlineStr">
        <is>
          <t>B24-ADA</t>
        </is>
      </c>
      <c r="C65" s="16" t="inlineStr">
        <is>
          <t>base 23.6"W × 34.0"H</t>
        </is>
      </c>
      <c r="D65" s="16" t="inlineStr">
        <is>
          <t>Base</t>
        </is>
      </c>
      <c r="E65" s="17" t="n">
        <v>23.6</v>
      </c>
      <c r="F65" s="17" t="n">
        <v>34</v>
      </c>
      <c r="G65" s="17" t="n">
        <v>23.6</v>
      </c>
      <c r="H65" s="17" t="n">
        <v>1</v>
      </c>
      <c r="I65" s="16" t="inlineStr">
        <is>
          <t>ELEVATION A</t>
        </is>
      </c>
      <c r="J65" s="16" t="inlineStr">
        <is>
          <t>Under vanity cabinet</t>
        </is>
      </c>
    </row>
    <row r="66">
      <c r="A66" s="16" t="n">
        <v>56</v>
      </c>
      <c r="B66" s="10" t="inlineStr">
        <is>
          <t>W12-12-ADA</t>
        </is>
      </c>
      <c r="C66" s="16" t="inlineStr">
        <is>
          <t>upper_wall 11.8"W × 11.8"H</t>
        </is>
      </c>
      <c r="D66" s="16" t="inlineStr">
        <is>
          <t>Upper Wall</t>
        </is>
      </c>
      <c r="E66" s="17" t="n">
        <v>11.8</v>
      </c>
      <c r="F66" s="17" t="n">
        <v>11.8</v>
      </c>
      <c r="G66" s="17" t="n">
        <v>13</v>
      </c>
      <c r="H66" s="17" t="n">
        <v>1</v>
      </c>
      <c r="I66" s="16" t="inlineStr">
        <is>
          <t>ELEVATION A</t>
        </is>
      </c>
      <c r="J66" s="16" t="inlineStr">
        <is>
          <t>Top left corner</t>
        </is>
      </c>
    </row>
    <row r="67">
      <c r="A67" s="16" t="n">
        <v>57</v>
      </c>
      <c r="B67" s="10" t="inlineStr">
        <is>
          <t>B18-ADA</t>
        </is>
      </c>
      <c r="C67" s="16" t="inlineStr">
        <is>
          <t>base 17.7"W × 34.0"H</t>
        </is>
      </c>
      <c r="D67" s="16" t="inlineStr">
        <is>
          <t>Base</t>
        </is>
      </c>
      <c r="E67" s="17" t="n">
        <v>17.7</v>
      </c>
      <c r="F67" s="17" t="n">
        <v>34</v>
      </c>
      <c r="G67" s="17" t="n">
        <v>23.6</v>
      </c>
      <c r="H67" s="17" t="n">
        <v>1</v>
      </c>
      <c r="I67" s="16" t="inlineStr">
        <is>
          <t>ELEVATION A2-ADA</t>
        </is>
      </c>
      <c r="J67" s="16" t="inlineStr">
        <is>
          <t>Right side, under countertop</t>
        </is>
      </c>
    </row>
    <row r="68">
      <c r="A68" s="16" t="n">
        <v>58</v>
      </c>
      <c r="B68" s="10" t="inlineStr">
        <is>
          <t>FIL2-ADA</t>
        </is>
      </c>
      <c r="C68" s="16" t="inlineStr">
        <is>
          <t>filler 2.0"W × 28.3"H</t>
        </is>
      </c>
      <c r="D68" s="16" t="inlineStr">
        <is>
          <t>Filler</t>
        </is>
      </c>
      <c r="E68" s="17" t="n">
        <v>2</v>
      </c>
      <c r="F68" s="17" t="n">
        <v>28.3</v>
      </c>
      <c r="G68" s="17" t="n">
        <v>1.2</v>
      </c>
      <c r="H68" s="17" t="n">
        <v>1</v>
      </c>
      <c r="I68" s="16" t="inlineStr">
        <is>
          <t>ELEVATION A2-ADA</t>
        </is>
      </c>
      <c r="J68" s="16" t="inlineStr">
        <is>
          <t>Between cabinets, near sink</t>
        </is>
      </c>
    </row>
    <row r="69">
      <c r="A69" s="16" t="n">
        <v>59</v>
      </c>
      <c r="B69" s="10" t="inlineStr">
        <is>
          <t>B24-ADA</t>
        </is>
      </c>
      <c r="C69" s="16" t="inlineStr">
        <is>
          <t>base 23.6"W × 34.0"H</t>
        </is>
      </c>
      <c r="D69" s="16" t="inlineStr">
        <is>
          <t>Base</t>
        </is>
      </c>
      <c r="E69" s="17" t="n">
        <v>23.6</v>
      </c>
      <c r="F69" s="17" t="n">
        <v>34</v>
      </c>
      <c r="G69" s="17" t="n">
        <v>23.6</v>
      </c>
      <c r="H69" s="17" t="n">
        <v>1</v>
      </c>
      <c r="I69" s="16" t="inlineStr">
        <is>
          <t>ELEVATION A</t>
        </is>
      </c>
      <c r="J69" s="16" t="inlineStr">
        <is>
          <t>Left side, near sink area</t>
        </is>
      </c>
    </row>
    <row r="70">
      <c r="A70" s="16" t="n">
        <v>60</v>
      </c>
      <c r="B70" s="10" t="inlineStr">
        <is>
          <t>B18-ADA</t>
        </is>
      </c>
      <c r="C70" s="16" t="inlineStr">
        <is>
          <t>base 17.7"W × 34.0"H</t>
        </is>
      </c>
      <c r="D70" s="16" t="inlineStr">
        <is>
          <t>Base</t>
        </is>
      </c>
      <c r="E70" s="17" t="n">
        <v>17.7</v>
      </c>
      <c r="F70" s="17" t="n">
        <v>34</v>
      </c>
      <c r="G70" s="17" t="n">
        <v>23.6</v>
      </c>
      <c r="H70" s="17" t="n">
        <v>1</v>
      </c>
      <c r="I70" s="16" t="inlineStr">
        <is>
          <t>ELEVATION A</t>
        </is>
      </c>
      <c r="J70" s="16" t="inlineStr">
        <is>
          <t>Adjacent to first base cabinet</t>
        </is>
      </c>
    </row>
    <row r="71">
      <c r="A71" s="16" t="n">
        <v>61</v>
      </c>
      <c r="B71" s="10" t="inlineStr">
        <is>
          <t>B12-ADA</t>
        </is>
      </c>
      <c r="C71" s="16" t="inlineStr">
        <is>
          <t>base 11.8"W × 34.0"H</t>
        </is>
      </c>
      <c r="D71" s="16" t="inlineStr">
        <is>
          <t>Base</t>
        </is>
      </c>
      <c r="E71" s="17" t="n">
        <v>11.8</v>
      </c>
      <c r="F71" s="17" t="n">
        <v>34</v>
      </c>
      <c r="G71" s="17" t="n">
        <v>23.6</v>
      </c>
      <c r="H71" s="17" t="n">
        <v>1</v>
      </c>
      <c r="I71" s="16" t="inlineStr">
        <is>
          <t>ELEVATION A</t>
        </is>
      </c>
      <c r="J71" s="16" t="inlineStr">
        <is>
          <t>Right side, near corner</t>
        </is>
      </c>
    </row>
    <row r="72">
      <c r="A72" s="16" t="n">
        <v>62</v>
      </c>
      <c r="B72" s="10" t="inlineStr">
        <is>
          <t>W30-12-ADA</t>
        </is>
      </c>
      <c r="C72" s="16" t="inlineStr">
        <is>
          <t>upper_wall 30.0"W × 11.8"H</t>
        </is>
      </c>
      <c r="D72" s="16" t="inlineStr">
        <is>
          <t>Upper Wall</t>
        </is>
      </c>
      <c r="E72" s="17" t="n">
        <v>30</v>
      </c>
      <c r="F72" s="17" t="n">
        <v>11.8</v>
      </c>
      <c r="G72" s="17" t="n">
        <v>13</v>
      </c>
      <c r="H72" s="17" t="n">
        <v>1</v>
      </c>
      <c r="I72" s="16" t="inlineStr">
        <is>
          <t>ELEVATION A</t>
        </is>
      </c>
      <c r="J72" s="16" t="inlineStr">
        <is>
          <t>Above vanity</t>
        </is>
      </c>
    </row>
    <row r="73">
      <c r="A73" s="16" t="n">
        <v>63</v>
      </c>
      <c r="B73" s="10" t="inlineStr">
        <is>
          <t>B24-ADA</t>
        </is>
      </c>
      <c r="C73" s="16" t="inlineStr">
        <is>
          <t>base 23.6"W × 34.0"H</t>
        </is>
      </c>
      <c r="D73" s="16" t="inlineStr">
        <is>
          <t>Base</t>
        </is>
      </c>
      <c r="E73" s="17" t="n">
        <v>23.6</v>
      </c>
      <c r="F73" s="17" t="n">
        <v>34</v>
      </c>
      <c r="G73" s="17" t="n">
        <v>23.6</v>
      </c>
      <c r="H73" s="17" t="n">
        <v>1</v>
      </c>
      <c r="I73" s="16" t="inlineStr">
        <is>
          <t>ELEVATION B</t>
        </is>
      </c>
      <c r="J73" s="16" t="inlineStr">
        <is>
          <t>Left side, near sink area</t>
        </is>
      </c>
    </row>
    <row r="74">
      <c r="A74" s="16" t="n">
        <v>64</v>
      </c>
      <c r="B74" s="10" t="inlineStr">
        <is>
          <t>B24-ADA</t>
        </is>
      </c>
      <c r="C74" s="16" t="inlineStr">
        <is>
          <t>base 23.6"W × 34.0"H</t>
        </is>
      </c>
      <c r="D74" s="16" t="inlineStr">
        <is>
          <t>Base</t>
        </is>
      </c>
      <c r="E74" s="17" t="n">
        <v>23.6</v>
      </c>
      <c r="F74" s="17" t="n">
        <v>34</v>
      </c>
      <c r="G74" s="17" t="n">
        <v>23.6</v>
      </c>
      <c r="H74" s="17" t="n">
        <v>1</v>
      </c>
      <c r="I74" s="16" t="inlineStr">
        <is>
          <t>UNIT A2 FA BATHROOM EL.</t>
        </is>
      </c>
      <c r="J74" s="16" t="inlineStr">
        <is>
          <t>Left side, near sink area</t>
        </is>
      </c>
    </row>
    <row r="75">
      <c r="A75" s="16" t="n">
        <v>65</v>
      </c>
      <c r="B75" s="10" t="inlineStr">
        <is>
          <t>B24-ADA</t>
        </is>
      </c>
      <c r="C75" s="16" t="inlineStr">
        <is>
          <t>base 23.6"W × 34.0"H</t>
        </is>
      </c>
      <c r="D75" s="16" t="inlineStr">
        <is>
          <t>Base</t>
        </is>
      </c>
      <c r="E75" s="17" t="n">
        <v>23.6</v>
      </c>
      <c r="F75" s="17" t="n">
        <v>34</v>
      </c>
      <c r="G75" s="17" t="n">
        <v>23.6</v>
      </c>
      <c r="H75" s="17" t="n">
        <v>1</v>
      </c>
      <c r="I75" s="16" t="inlineStr">
        <is>
          <t>UNIT A2 FA BATHROOM EL.</t>
        </is>
      </c>
      <c r="J75" s="16" t="inlineStr">
        <is>
          <t>Under vanity sink</t>
        </is>
      </c>
    </row>
    <row r="76">
      <c r="A76" s="16" t="n">
        <v>66</v>
      </c>
      <c r="B76" s="10" t="inlineStr">
        <is>
          <t>B24-ADA</t>
        </is>
      </c>
      <c r="C76" s="16" t="inlineStr">
        <is>
          <t>base 23.6"W × 34.0"H</t>
        </is>
      </c>
      <c r="D76" s="16" t="inlineStr">
        <is>
          <t>Base</t>
        </is>
      </c>
      <c r="E76" s="17" t="n">
        <v>23.6</v>
      </c>
      <c r="F76" s="17" t="n">
        <v>34</v>
      </c>
      <c r="G76" s="17" t="n">
        <v>23.6</v>
      </c>
      <c r="H76" s="17" t="n">
        <v>1</v>
      </c>
      <c r="I76" s="16" t="inlineStr">
        <is>
          <t>ELEVATION A</t>
        </is>
      </c>
      <c r="J76" s="16" t="inlineStr">
        <is>
          <t>Left side, under countertop</t>
        </is>
      </c>
    </row>
    <row r="77">
      <c r="A77" s="16" t="n">
        <v>67</v>
      </c>
      <c r="B77" s="10" t="inlineStr">
        <is>
          <t>B18-ADA</t>
        </is>
      </c>
      <c r="C77" s="16" t="inlineStr">
        <is>
          <t>base 17.7"W × 34.0"H</t>
        </is>
      </c>
      <c r="D77" s="16" t="inlineStr">
        <is>
          <t>Base</t>
        </is>
      </c>
      <c r="E77" s="17" t="n">
        <v>17.7</v>
      </c>
      <c r="F77" s="17" t="n">
        <v>34</v>
      </c>
      <c r="G77" s="17" t="n">
        <v>23.6</v>
      </c>
      <c r="H77" s="17" t="n">
        <v>1</v>
      </c>
      <c r="I77" s="16" t="inlineStr">
        <is>
          <t>ELEVATION A</t>
        </is>
      </c>
      <c r="J77" s="16" t="inlineStr">
        <is>
          <t>Center, under countertop</t>
        </is>
      </c>
    </row>
    <row r="78">
      <c r="A78" s="16" t="n">
        <v>68</v>
      </c>
      <c r="B78" s="10" t="inlineStr">
        <is>
          <t>B6-ADA</t>
        </is>
      </c>
      <c r="C78" s="16" t="inlineStr">
        <is>
          <t>base 5.9"W × 34.0"H</t>
        </is>
      </c>
      <c r="D78" s="16" t="inlineStr">
        <is>
          <t>Base</t>
        </is>
      </c>
      <c r="E78" s="17" t="n">
        <v>5.9</v>
      </c>
      <c r="F78" s="17" t="n">
        <v>34</v>
      </c>
      <c r="G78" s="17" t="n">
        <v>23.6</v>
      </c>
      <c r="H78" s="17" t="n">
        <v>1</v>
      </c>
      <c r="I78" s="16" t="inlineStr">
        <is>
          <t>ELEVATION A</t>
        </is>
      </c>
      <c r="J78" s="16" t="inlineStr">
        <is>
          <t>Right side, under countertop</t>
        </is>
      </c>
    </row>
    <row r="79">
      <c r="A79" s="16" t="n">
        <v>69</v>
      </c>
      <c r="B79" s="10" t="inlineStr">
        <is>
          <t>W30-12-ADA</t>
        </is>
      </c>
      <c r="C79" s="16" t="inlineStr">
        <is>
          <t>upper_wall 30.0"W × 11.8"H</t>
        </is>
      </c>
      <c r="D79" s="16" t="inlineStr">
        <is>
          <t>Upper Wall</t>
        </is>
      </c>
      <c r="E79" s="17" t="n">
        <v>30</v>
      </c>
      <c r="F79" s="17" t="n">
        <v>11.8</v>
      </c>
      <c r="G79" s="17" t="n">
        <v>13</v>
      </c>
      <c r="H79" s="17" t="n">
        <v>1</v>
      </c>
      <c r="I79" s="16" t="inlineStr">
        <is>
          <t>ELEVATION A</t>
        </is>
      </c>
      <c r="J79" s="16" t="inlineStr">
        <is>
          <t>Above countertop, left side</t>
        </is>
      </c>
    </row>
    <row r="80">
      <c r="A80" s="16" t="n">
        <v>70</v>
      </c>
      <c r="B80" s="10" t="inlineStr">
        <is>
          <t>W30-28-ADA</t>
        </is>
      </c>
      <c r="C80" s="16" t="inlineStr">
        <is>
          <t>upper_wall 30.0"W × 28.3"H</t>
        </is>
      </c>
      <c r="D80" s="16" t="inlineStr">
        <is>
          <t>Upper Wall</t>
        </is>
      </c>
      <c r="E80" s="17" t="n">
        <v>30</v>
      </c>
      <c r="F80" s="17" t="n">
        <v>28.3</v>
      </c>
      <c r="G80" s="17" t="n">
        <v>13</v>
      </c>
      <c r="H80" s="17" t="n">
        <v>1</v>
      </c>
      <c r="I80" s="16" t="inlineStr">
        <is>
          <t>ELEVATION A</t>
        </is>
      </c>
      <c r="J80" s="16" t="inlineStr">
        <is>
          <t>Above refrigerator space</t>
        </is>
      </c>
    </row>
    <row r="81">
      <c r="A81" s="16" t="n">
        <v>71</v>
      </c>
      <c r="B81" s="10" t="inlineStr">
        <is>
          <t>B24-ADA</t>
        </is>
      </c>
      <c r="C81" s="16" t="inlineStr">
        <is>
          <t>base 23.6"W × 34.0"H</t>
        </is>
      </c>
      <c r="D81" s="16" t="inlineStr">
        <is>
          <t>Base</t>
        </is>
      </c>
      <c r="E81" s="17" t="n">
        <v>23.6</v>
      </c>
      <c r="F81" s="17" t="n">
        <v>34</v>
      </c>
      <c r="G81" s="17" t="n">
        <v>23.6</v>
      </c>
      <c r="H81" s="17" t="n">
        <v>1</v>
      </c>
      <c r="I81" s="16" t="inlineStr">
        <is>
          <t>UNIT A2 FA BATHROOM EL.</t>
        </is>
      </c>
      <c r="J81" s="16" t="inlineStr">
        <is>
          <t>Under linen closet</t>
        </is>
      </c>
    </row>
    <row r="82">
      <c r="A82" s="13" t="inlineStr">
        <is>
          <t>KITCHEN SUBTOTALS</t>
        </is>
      </c>
      <c r="B82" s="25" t="n"/>
      <c r="C82" s="25" t="n"/>
      <c r="D82" s="25" t="n"/>
      <c r="E82" s="25" t="n"/>
      <c r="F82" s="25" t="n"/>
      <c r="G82" s="25" t="n"/>
      <c r="H82" s="13" t="n">
        <v>71</v>
      </c>
      <c r="I82" s="25" t="n"/>
      <c r="J82" s="25" t="n"/>
    </row>
    <row r="83"/>
    <row r="84">
      <c r="A84" s="32" t="inlineStr">
        <is>
          <t>SECTION 2 — BATHROOM VANITY CABINETS</t>
        </is>
      </c>
    </row>
    <row r="85"/>
    <row r="86">
      <c r="A86" s="9" t="inlineStr">
        <is>
          <t>Item</t>
        </is>
      </c>
      <c r="B86" s="9" t="inlineStr">
        <is>
          <t>Cabinet Code</t>
        </is>
      </c>
      <c r="C86" s="9" t="inlineStr">
        <is>
          <t>Description</t>
        </is>
      </c>
      <c r="D86" s="9" t="inlineStr">
        <is>
          <t>Type</t>
        </is>
      </c>
      <c r="E86" s="9" t="inlineStr">
        <is>
          <t>W (in)</t>
        </is>
      </c>
      <c r="F86" s="9" t="inlineStr">
        <is>
          <t>H (in)</t>
        </is>
      </c>
      <c r="G86" s="9" t="inlineStr">
        <is>
          <t>D (in)</t>
        </is>
      </c>
      <c r="H86" s="9" t="inlineStr">
        <is>
          <t>Qty</t>
        </is>
      </c>
      <c r="I86" s="9" t="inlineStr">
        <is>
          <t>Elev. Ref.</t>
        </is>
      </c>
      <c r="J86" s="9" t="inlineStr">
        <is>
          <t>Location Note</t>
        </is>
      </c>
    </row>
    <row r="87">
      <c r="A87" s="16" t="n">
        <v>1</v>
      </c>
      <c r="B87" s="10" t="inlineStr">
        <is>
          <t>VAN30-ADA</t>
        </is>
      </c>
      <c r="C87" s="16" t="inlineStr">
        <is>
          <t>vanity 30.0"W × 34.3"H</t>
        </is>
      </c>
      <c r="D87" s="16" t="inlineStr">
        <is>
          <t>Vanity</t>
        </is>
      </c>
      <c r="E87" s="17" t="n">
        <v>30</v>
      </c>
      <c r="F87" s="17" t="n">
        <v>34.3</v>
      </c>
      <c r="G87" s="17" t="n">
        <v>20.9</v>
      </c>
      <c r="H87" s="17" t="n">
        <v>1</v>
      </c>
      <c r="I87" s="16" t="inlineStr">
        <is>
          <t>ELEVATION A</t>
        </is>
      </c>
      <c r="J87" s="16" t="inlineStr">
        <is>
          <t>Bathroom vanity</t>
        </is>
      </c>
    </row>
    <row r="88">
      <c r="A88" s="16" t="n">
        <v>2</v>
      </c>
      <c r="B88" s="10" t="inlineStr">
        <is>
          <t>MED6-ADA</t>
        </is>
      </c>
      <c r="C88" s="16" t="inlineStr">
        <is>
          <t>medicine_cabinet 5.9"W × 11.8"H</t>
        </is>
      </c>
      <c r="D88" s="16" t="inlineStr">
        <is>
          <t>Medicine Cabinet</t>
        </is>
      </c>
      <c r="E88" s="17" t="n">
        <v>5.9</v>
      </c>
      <c r="F88" s="17" t="n">
        <v>11.8</v>
      </c>
      <c r="G88" s="17" t="n">
        <v>13</v>
      </c>
      <c r="H88" s="17" t="n">
        <v>1</v>
      </c>
      <c r="I88" s="16" t="inlineStr">
        <is>
          <t>ELEVATION A</t>
        </is>
      </c>
      <c r="J88" s="16" t="inlineStr">
        <is>
          <t>Above sink</t>
        </is>
      </c>
    </row>
    <row r="89">
      <c r="A89" s="16" t="n">
        <v>3</v>
      </c>
      <c r="B89" s="10" t="inlineStr">
        <is>
          <t>LIN12-ADA</t>
        </is>
      </c>
      <c r="C89" s="16" t="inlineStr">
        <is>
          <t>linen 11.8"W × 28.3"H</t>
        </is>
      </c>
      <c r="D89" s="16" t="inlineStr">
        <is>
          <t>Linen</t>
        </is>
      </c>
      <c r="E89" s="17" t="n">
        <v>11.8</v>
      </c>
      <c r="F89" s="17" t="n">
        <v>28.3</v>
      </c>
      <c r="G89" s="17" t="n">
        <v>23.6</v>
      </c>
      <c r="H89" s="17" t="n">
        <v>1</v>
      </c>
      <c r="I89" s="16" t="inlineStr">
        <is>
          <t>ELEVATION A</t>
        </is>
      </c>
      <c r="J89" s="16" t="inlineStr">
        <is>
          <t>Right wall, above base cabinet</t>
        </is>
      </c>
    </row>
    <row r="90">
      <c r="A90" s="16" t="n">
        <v>4</v>
      </c>
      <c r="B90" s="10" t="inlineStr">
        <is>
          <t>VAN47-ADA</t>
        </is>
      </c>
      <c r="C90" s="16" t="inlineStr">
        <is>
          <t>vanity 47.2"W × 34.3"H</t>
        </is>
      </c>
      <c r="D90" s="16" t="inlineStr">
        <is>
          <t>Vanity</t>
        </is>
      </c>
      <c r="E90" s="17" t="n">
        <v>47.2</v>
      </c>
      <c r="F90" s="17" t="n">
        <v>34.3</v>
      </c>
      <c r="G90" s="17" t="n">
        <v>20.9</v>
      </c>
      <c r="H90" s="17" t="n">
        <v>1</v>
      </c>
      <c r="I90" s="16" t="inlineStr">
        <is>
          <t>BATHROOM ELEVATION</t>
        </is>
      </c>
      <c r="J90" s="16" t="inlineStr">
        <is>
          <t>Bathroom vanity</t>
        </is>
      </c>
    </row>
    <row r="91">
      <c r="A91" s="16" t="n">
        <v>5</v>
      </c>
      <c r="B91" s="10" t="inlineStr">
        <is>
          <t>MED16-ADA</t>
        </is>
      </c>
      <c r="C91" s="16" t="inlineStr">
        <is>
          <t>medicine_cabinet 15.7"W × 23.6"H</t>
        </is>
      </c>
      <c r="D91" s="16" t="inlineStr">
        <is>
          <t>Medicine Cabinet</t>
        </is>
      </c>
      <c r="E91" s="17" t="n">
        <v>15.7</v>
      </c>
      <c r="F91" s="17" t="n">
        <v>23.6</v>
      </c>
      <c r="G91" s="17" t="n">
        <v>5.9</v>
      </c>
      <c r="H91" s="17" t="n">
        <v>1</v>
      </c>
      <c r="I91" s="16" t="inlineStr">
        <is>
          <t>BATHROOM ELEVATION</t>
        </is>
      </c>
      <c r="J91" s="16" t="inlineStr">
        <is>
          <t>Above toilet</t>
        </is>
      </c>
    </row>
    <row r="92">
      <c r="A92" s="16" t="n">
        <v>6</v>
      </c>
      <c r="B92" s="10" t="inlineStr">
        <is>
          <t>VAN35-ADA</t>
        </is>
      </c>
      <c r="C92" s="16" t="inlineStr">
        <is>
          <t>vanity 35.4"W × 34.3"H</t>
        </is>
      </c>
      <c r="D92" s="16" t="inlineStr">
        <is>
          <t>Vanity</t>
        </is>
      </c>
      <c r="E92" s="17" t="n">
        <v>35.4</v>
      </c>
      <c r="F92" s="17" t="n">
        <v>34.3</v>
      </c>
      <c r="G92" s="17" t="n">
        <v>20.9</v>
      </c>
      <c r="H92" s="17" t="n">
        <v>1</v>
      </c>
      <c r="I92" s="16" t="inlineStr">
        <is>
          <t>BATH</t>
        </is>
      </c>
      <c r="J92" s="16" t="inlineStr">
        <is>
          <t>Bathroom vanity</t>
        </is>
      </c>
    </row>
    <row r="93">
      <c r="A93" s="16" t="n">
        <v>7</v>
      </c>
      <c r="B93" s="10" t="inlineStr">
        <is>
          <t>MED6-ADA</t>
        </is>
      </c>
      <c r="C93" s="16" t="inlineStr">
        <is>
          <t>medicine_cabinet 5.9"W × 11.8"H</t>
        </is>
      </c>
      <c r="D93" s="16" t="inlineStr">
        <is>
          <t>Medicine Cabinet</t>
        </is>
      </c>
      <c r="E93" s="17" t="n">
        <v>5.9</v>
      </c>
      <c r="F93" s="17" t="n">
        <v>11.8</v>
      </c>
      <c r="G93" s="17" t="n">
        <v>13</v>
      </c>
      <c r="H93" s="17" t="n">
        <v>1</v>
      </c>
      <c r="I93" s="16" t="inlineStr">
        <is>
          <t>BATH</t>
        </is>
      </c>
      <c r="J93" s="16" t="inlineStr">
        <is>
          <t>Above vanity</t>
        </is>
      </c>
    </row>
    <row r="94">
      <c r="A94" s="16" t="n">
        <v>8</v>
      </c>
      <c r="B94" s="10" t="inlineStr">
        <is>
          <t>LIN12-ADA</t>
        </is>
      </c>
      <c r="C94" s="16" t="inlineStr">
        <is>
          <t>linen 11.8"W × 83.9"H</t>
        </is>
      </c>
      <c r="D94" s="16" t="inlineStr">
        <is>
          <t>Linen</t>
        </is>
      </c>
      <c r="E94" s="17" t="n">
        <v>11.8</v>
      </c>
      <c r="F94" s="17" t="n">
        <v>83.90000000000001</v>
      </c>
      <c r="G94" s="17" t="n">
        <v>23.6</v>
      </c>
      <c r="H94" s="17" t="n">
        <v>1</v>
      </c>
      <c r="I94" s="16" t="inlineStr">
        <is>
          <t>BATH</t>
        </is>
      </c>
      <c r="J94" s="16" t="inlineStr">
        <is>
          <t>Right side, floor to ceiling</t>
        </is>
      </c>
    </row>
    <row r="95">
      <c r="A95" s="16" t="n">
        <v>9</v>
      </c>
      <c r="B95" s="10" t="inlineStr">
        <is>
          <t>VAN35-ADA</t>
        </is>
      </c>
      <c r="C95" s="16" t="inlineStr">
        <is>
          <t>vanity 35.4"W × 34.3"H</t>
        </is>
      </c>
      <c r="D95" s="16" t="inlineStr">
        <is>
          <t>Vanity</t>
        </is>
      </c>
      <c r="E95" s="17" t="n">
        <v>35.4</v>
      </c>
      <c r="F95" s="17" t="n">
        <v>34.3</v>
      </c>
      <c r="G95" s="17" t="n">
        <v>20.9</v>
      </c>
      <c r="H95" s="17" t="n">
        <v>1</v>
      </c>
      <c r="I95" s="16" t="inlineStr">
        <is>
          <t>BATH</t>
        </is>
      </c>
      <c r="J95" s="16" t="inlineStr">
        <is>
          <t>Right side, bottom</t>
        </is>
      </c>
    </row>
    <row r="96">
      <c r="A96" s="16" t="n">
        <v>10</v>
      </c>
      <c r="B96" s="10" t="inlineStr">
        <is>
          <t>MED6-ADA</t>
        </is>
      </c>
      <c r="C96" s="16" t="inlineStr">
        <is>
          <t>medicine_cabinet 5.9"W × 11.8"H</t>
        </is>
      </c>
      <c r="D96" s="16" t="inlineStr">
        <is>
          <t>Medicine Cabinet</t>
        </is>
      </c>
      <c r="E96" s="17" t="n">
        <v>5.9</v>
      </c>
      <c r="F96" s="17" t="n">
        <v>11.8</v>
      </c>
      <c r="G96" s="17" t="n">
        <v>13</v>
      </c>
      <c r="H96" s="17" t="n">
        <v>1</v>
      </c>
      <c r="I96" s="16" t="inlineStr">
        <is>
          <t>BATH</t>
        </is>
      </c>
      <c r="J96" s="16" t="inlineStr">
        <is>
          <t>Above vanity</t>
        </is>
      </c>
    </row>
    <row r="97">
      <c r="A97" s="16" t="n">
        <v>11</v>
      </c>
      <c r="B97" s="10" t="inlineStr">
        <is>
          <t>LIN12-ADA</t>
        </is>
      </c>
      <c r="C97" s="16" t="inlineStr">
        <is>
          <t>linen 11.8"W × 23.6"H</t>
        </is>
      </c>
      <c r="D97" s="16" t="inlineStr">
        <is>
          <t>Linen</t>
        </is>
      </c>
      <c r="E97" s="17" t="n">
        <v>11.8</v>
      </c>
      <c r="F97" s="17" t="n">
        <v>23.6</v>
      </c>
      <c r="G97" s="17" t="n">
        <v>23.6</v>
      </c>
      <c r="H97" s="17" t="n">
        <v>1</v>
      </c>
      <c r="I97" s="16" t="inlineStr">
        <is>
          <t>ELEVATION A</t>
        </is>
      </c>
      <c r="J97" s="16" t="inlineStr">
        <is>
          <t>Linen closet</t>
        </is>
      </c>
    </row>
    <row r="98">
      <c r="A98" s="16" t="n">
        <v>12</v>
      </c>
      <c r="B98" s="10" t="inlineStr">
        <is>
          <t>VAN30-ADA</t>
        </is>
      </c>
      <c r="C98" s="16" t="inlineStr">
        <is>
          <t>vanity 30.0"W × 34.3"H</t>
        </is>
      </c>
      <c r="D98" s="16" t="inlineStr">
        <is>
          <t>Vanity</t>
        </is>
      </c>
      <c r="E98" s="17" t="n">
        <v>30</v>
      </c>
      <c r="F98" s="17" t="n">
        <v>34.3</v>
      </c>
      <c r="G98" s="17" t="n">
        <v>20.9</v>
      </c>
      <c r="H98" s="17" t="n">
        <v>1</v>
      </c>
      <c r="I98" s="16" t="inlineStr">
        <is>
          <t>ELEVATION A2</t>
        </is>
      </c>
      <c r="J98" s="16" t="inlineStr">
        <is>
          <t>Left side, near sink area</t>
        </is>
      </c>
    </row>
    <row r="99">
      <c r="A99" s="16" t="n">
        <v>13</v>
      </c>
      <c r="B99" s="10" t="inlineStr">
        <is>
          <t>MED12-ADA</t>
        </is>
      </c>
      <c r="C99" s="16" t="inlineStr">
        <is>
          <t>medicine_cabinet 11.8"W × 11.8"H</t>
        </is>
      </c>
      <c r="D99" s="16" t="inlineStr">
        <is>
          <t>Medicine Cabinet</t>
        </is>
      </c>
      <c r="E99" s="17" t="n">
        <v>11.8</v>
      </c>
      <c r="F99" s="17" t="n">
        <v>11.8</v>
      </c>
      <c r="G99" s="17" t="n">
        <v>5.1</v>
      </c>
      <c r="H99" s="17" t="n">
        <v>1</v>
      </c>
      <c r="I99" s="16" t="inlineStr">
        <is>
          <t>ELEVATION A2</t>
        </is>
      </c>
      <c r="J99" s="16" t="inlineStr">
        <is>
          <t>Above vanity</t>
        </is>
      </c>
    </row>
    <row r="100">
      <c r="A100" s="16" t="n">
        <v>14</v>
      </c>
      <c r="B100" s="10" t="inlineStr">
        <is>
          <t>LIN12-ADA</t>
        </is>
      </c>
      <c r="C100" s="16" t="inlineStr">
        <is>
          <t>linen 11.8"W × 83.9"H</t>
        </is>
      </c>
      <c r="D100" s="16" t="inlineStr">
        <is>
          <t>Linen</t>
        </is>
      </c>
      <c r="E100" s="17" t="n">
        <v>11.8</v>
      </c>
      <c r="F100" s="17" t="n">
        <v>83.90000000000001</v>
      </c>
      <c r="G100" s="17" t="n">
        <v>23.6</v>
      </c>
      <c r="H100" s="17" t="n">
        <v>1</v>
      </c>
      <c r="I100" s="16" t="inlineStr">
        <is>
          <t>ELEVATION A2</t>
        </is>
      </c>
      <c r="J100" s="16" t="inlineStr">
        <is>
          <t>Right side, near vanity</t>
        </is>
      </c>
    </row>
    <row r="101">
      <c r="A101" s="16" t="n">
        <v>15</v>
      </c>
      <c r="B101" s="10" t="inlineStr">
        <is>
          <t>VAN47-ADA</t>
        </is>
      </c>
      <c r="C101" s="16" t="inlineStr">
        <is>
          <t>vanity 47.2"W × 34.3"H</t>
        </is>
      </c>
      <c r="D101" s="16" t="inlineStr">
        <is>
          <t>Vanity</t>
        </is>
      </c>
      <c r="E101" s="17" t="n">
        <v>47.2</v>
      </c>
      <c r="F101" s="17" t="n">
        <v>34.3</v>
      </c>
      <c r="G101" s="17" t="n">
        <v>20.9</v>
      </c>
      <c r="H101" s="17" t="n">
        <v>1</v>
      </c>
      <c r="I101" s="16" t="inlineStr">
        <is>
          <t>UNIT A2 FA BATHROOM EL.</t>
        </is>
      </c>
      <c r="J101" s="16" t="inlineStr">
        <is>
          <t>Bathroom vanity</t>
        </is>
      </c>
    </row>
    <row r="102">
      <c r="A102" s="16" t="n">
        <v>16</v>
      </c>
      <c r="B102" s="10" t="inlineStr">
        <is>
          <t>MED24-ADA</t>
        </is>
      </c>
      <c r="C102" s="16" t="inlineStr">
        <is>
          <t>medicine_cabinet 23.6"W × 11.8"H</t>
        </is>
      </c>
      <c r="D102" s="16" t="inlineStr">
        <is>
          <t>Medicine Cabinet</t>
        </is>
      </c>
      <c r="E102" s="17" t="n">
        <v>23.6</v>
      </c>
      <c r="F102" s="17" t="n">
        <v>11.8</v>
      </c>
      <c r="G102" s="17" t="n">
        <v>5.9</v>
      </c>
      <c r="H102" s="17" t="n">
        <v>1</v>
      </c>
      <c r="I102" s="16" t="inlineStr">
        <is>
          <t>UNIT A2 FA BATHROOM EL.</t>
        </is>
      </c>
      <c r="J102" s="16" t="inlineStr">
        <is>
          <t>Above vanity</t>
        </is>
      </c>
    </row>
    <row r="103">
      <c r="A103" s="16" t="n">
        <v>17</v>
      </c>
      <c r="B103" s="10" t="inlineStr">
        <is>
          <t>VAN30-ADA</t>
        </is>
      </c>
      <c r="C103" s="16" t="inlineStr">
        <is>
          <t>vanity 30.0"W × 34.3"H</t>
        </is>
      </c>
      <c r="D103" s="16" t="inlineStr">
        <is>
          <t>Vanity</t>
        </is>
      </c>
      <c r="E103" s="17" t="n">
        <v>30</v>
      </c>
      <c r="F103" s="17" t="n">
        <v>34.3</v>
      </c>
      <c r="G103" s="17" t="n">
        <v>20.9</v>
      </c>
      <c r="H103" s="17" t="n">
        <v>1</v>
      </c>
      <c r="I103" s="16" t="inlineStr">
        <is>
          <t>UNIT A2 FA BATHROOM EL.</t>
        </is>
      </c>
      <c r="J103" s="16" t="inlineStr">
        <is>
          <t>Right of sink, main wall</t>
        </is>
      </c>
    </row>
    <row r="104">
      <c r="A104" s="16" t="n">
        <v>18</v>
      </c>
      <c r="B104" s="10" t="inlineStr">
        <is>
          <t>LIN12-ADA</t>
        </is>
      </c>
      <c r="C104" s="16" t="inlineStr">
        <is>
          <t>linen 11.8"W × 11.8"H</t>
        </is>
      </c>
      <c r="D104" s="16" t="inlineStr">
        <is>
          <t>Linen</t>
        </is>
      </c>
      <c r="E104" s="17" t="n">
        <v>11.8</v>
      </c>
      <c r="F104" s="17" t="n">
        <v>11.8</v>
      </c>
      <c r="G104" s="17" t="n">
        <v>13</v>
      </c>
      <c r="H104" s="17" t="n">
        <v>1</v>
      </c>
      <c r="I104" s="16" t="inlineStr">
        <is>
          <t>UNIT A2 FA BATHROOM EL.</t>
        </is>
      </c>
      <c r="J104" s="16" t="inlineStr">
        <is>
          <t>Left of toilet, above floor</t>
        </is>
      </c>
    </row>
    <row r="105">
      <c r="A105" s="16" t="n">
        <v>19</v>
      </c>
      <c r="B105" s="10" t="inlineStr">
        <is>
          <t>MED30-ADA</t>
        </is>
      </c>
      <c r="C105" s="16" t="inlineStr">
        <is>
          <t>medicine_cabinet 30.0"W × 5.9"H</t>
        </is>
      </c>
      <c r="D105" s="16" t="inlineStr">
        <is>
          <t>Medicine Cabinet</t>
        </is>
      </c>
      <c r="E105" s="17" t="n">
        <v>30</v>
      </c>
      <c r="F105" s="17" t="n">
        <v>5.9</v>
      </c>
      <c r="G105" s="17" t="n">
        <v>5.9</v>
      </c>
      <c r="H105" s="17" t="n">
        <v>1</v>
      </c>
      <c r="I105" s="16" t="inlineStr">
        <is>
          <t>UNIT A2 FA BATHROOM EL.</t>
        </is>
      </c>
      <c r="J105" s="16" t="inlineStr">
        <is>
          <t>Above sink, main wall</t>
        </is>
      </c>
    </row>
    <row r="106">
      <c r="A106" s="16" t="n">
        <v>20</v>
      </c>
      <c r="B106" s="10" t="inlineStr">
        <is>
          <t>LIN12-ADA</t>
        </is>
      </c>
      <c r="C106" s="16" t="inlineStr">
        <is>
          <t>linen 11.8"W × 83.9"H</t>
        </is>
      </c>
      <c r="D106" s="16" t="inlineStr">
        <is>
          <t>Linen</t>
        </is>
      </c>
      <c r="E106" s="17" t="n">
        <v>11.8</v>
      </c>
      <c r="F106" s="17" t="n">
        <v>83.90000000000001</v>
      </c>
      <c r="G106" s="17" t="n">
        <v>23.6</v>
      </c>
      <c r="H106" s="17" t="n">
        <v>1</v>
      </c>
      <c r="I106" s="16" t="inlineStr">
        <is>
          <t>BATH</t>
        </is>
      </c>
      <c r="J106" s="16" t="inlineStr">
        <is>
          <t>Right side, floor to ceiling</t>
        </is>
      </c>
    </row>
    <row r="107">
      <c r="A107" s="16" t="n">
        <v>21</v>
      </c>
      <c r="B107" s="10" t="inlineStr">
        <is>
          <t>VAN35-ADA</t>
        </is>
      </c>
      <c r="C107" s="16" t="inlineStr">
        <is>
          <t>vanity 35.4"W × 34.3"H</t>
        </is>
      </c>
      <c r="D107" s="16" t="inlineStr">
        <is>
          <t>Vanity</t>
        </is>
      </c>
      <c r="E107" s="17" t="n">
        <v>35.4</v>
      </c>
      <c r="F107" s="17" t="n">
        <v>34.3</v>
      </c>
      <c r="G107" s="17" t="n">
        <v>20.9</v>
      </c>
      <c r="H107" s="17" t="n">
        <v>1</v>
      </c>
      <c r="I107" s="16" t="inlineStr">
        <is>
          <t>BATH</t>
        </is>
      </c>
      <c r="J107" s="16" t="inlineStr">
        <is>
          <t>Bathroom vanity</t>
        </is>
      </c>
    </row>
    <row r="108">
      <c r="A108" s="16" t="n">
        <v>22</v>
      </c>
      <c r="B108" s="10" t="inlineStr">
        <is>
          <t>VAN30-ADA</t>
        </is>
      </c>
      <c r="C108" s="16" t="inlineStr">
        <is>
          <t>vanity 30.0"W × 34.3"H</t>
        </is>
      </c>
      <c r="D108" s="16" t="inlineStr">
        <is>
          <t>Vanity</t>
        </is>
      </c>
      <c r="E108" s="17" t="n">
        <v>30</v>
      </c>
      <c r="F108" s="17" t="n">
        <v>34.3</v>
      </c>
      <c r="G108" s="17" t="n">
        <v>20.9</v>
      </c>
      <c r="H108" s="17" t="n">
        <v>1</v>
      </c>
      <c r="I108" s="16" t="inlineStr">
        <is>
          <t>A-6.01</t>
        </is>
      </c>
      <c r="J108" s="16" t="inlineStr">
        <is>
          <t>Left of linen closet</t>
        </is>
      </c>
    </row>
    <row r="109">
      <c r="A109" s="16" t="n">
        <v>23</v>
      </c>
      <c r="B109" s="10" t="inlineStr">
        <is>
          <t>LIN12</t>
        </is>
      </c>
      <c r="C109" s="16" t="inlineStr">
        <is>
          <t>linen 11.8"W × 28.3"H</t>
        </is>
      </c>
      <c r="D109" s="16" t="inlineStr">
        <is>
          <t>Linen</t>
        </is>
      </c>
      <c r="E109" s="17" t="n">
        <v>11.8</v>
      </c>
      <c r="F109" s="17" t="n">
        <v>28.3</v>
      </c>
      <c r="G109" s="17" t="n">
        <v>23.6</v>
      </c>
      <c r="H109" s="17" t="n">
        <v>1</v>
      </c>
      <c r="I109" s="16" t="inlineStr">
        <is>
          <t>A-6.01</t>
        </is>
      </c>
      <c r="J109" s="16" t="inlineStr">
        <is>
          <t>Right of vanity</t>
        </is>
      </c>
    </row>
    <row r="110">
      <c r="A110" s="16" t="n">
        <v>24</v>
      </c>
      <c r="B110" s="10" t="inlineStr">
        <is>
          <t>VAN24-ADA</t>
        </is>
      </c>
      <c r="C110" s="16" t="inlineStr">
        <is>
          <t>vanity 23.6"W × 34.3"H</t>
        </is>
      </c>
      <c r="D110" s="16" t="inlineStr">
        <is>
          <t>Vanity</t>
        </is>
      </c>
      <c r="E110" s="17" t="n">
        <v>23.6</v>
      </c>
      <c r="F110" s="17" t="n">
        <v>34.3</v>
      </c>
      <c r="G110" s="17" t="n">
        <v>20.9</v>
      </c>
      <c r="H110" s="17" t="n">
        <v>1</v>
      </c>
      <c r="I110" s="16" t="inlineStr">
        <is>
          <t>UNIT A2 FA BATHROOM EL.</t>
        </is>
      </c>
      <c r="J110" s="16" t="inlineStr">
        <is>
          <t>Under sink, near toilet</t>
        </is>
      </c>
    </row>
    <row r="111">
      <c r="A111" s="16" t="n">
        <v>25</v>
      </c>
      <c r="B111" s="10" t="inlineStr">
        <is>
          <t>LIN12-ADA</t>
        </is>
      </c>
      <c r="C111" s="16" t="inlineStr">
        <is>
          <t>linen 11.8"W × 11.8"H</t>
        </is>
      </c>
      <c r="D111" s="16" t="inlineStr">
        <is>
          <t>Linen</t>
        </is>
      </c>
      <c r="E111" s="17" t="n">
        <v>11.8</v>
      </c>
      <c r="F111" s="17" t="n">
        <v>11.8</v>
      </c>
      <c r="G111" s="17" t="n">
        <v>13</v>
      </c>
      <c r="H111" s="17" t="n">
        <v>1</v>
      </c>
      <c r="I111" s="16" t="inlineStr">
        <is>
          <t>UNIT A2 FA BATHROOM EL.</t>
        </is>
      </c>
      <c r="J111" s="16" t="inlineStr">
        <is>
          <t>Left of vanity</t>
        </is>
      </c>
    </row>
    <row r="112">
      <c r="A112" s="16" t="n">
        <v>26</v>
      </c>
      <c r="B112" s="10" t="inlineStr">
        <is>
          <t>MED6-ADA</t>
        </is>
      </c>
      <c r="C112" s="16" t="inlineStr">
        <is>
          <t>medicine_cabinet 5.9"W × 11.8"H</t>
        </is>
      </c>
      <c r="D112" s="16" t="inlineStr">
        <is>
          <t>Medicine Cabinet</t>
        </is>
      </c>
      <c r="E112" s="17" t="n">
        <v>5.9</v>
      </c>
      <c r="F112" s="17" t="n">
        <v>11.8</v>
      </c>
      <c r="G112" s="17" t="n">
        <v>13</v>
      </c>
      <c r="H112" s="17" t="n">
        <v>1</v>
      </c>
      <c r="I112" s="16" t="inlineStr">
        <is>
          <t>UNIT A2 FA BATHROOM EL.</t>
        </is>
      </c>
      <c r="J112" s="16" t="inlineStr">
        <is>
          <t>Right of vanity</t>
        </is>
      </c>
    </row>
    <row r="113">
      <c r="A113" s="16" t="n">
        <v>27</v>
      </c>
      <c r="B113" s="10" t="inlineStr">
        <is>
          <t>VAN30-ADA</t>
        </is>
      </c>
      <c r="C113" s="16" t="inlineStr">
        <is>
          <t>vanity 30.0"W × 34.3"H</t>
        </is>
      </c>
      <c r="D113" s="16" t="inlineStr">
        <is>
          <t>Vanity</t>
        </is>
      </c>
      <c r="E113" s="17" t="n">
        <v>30</v>
      </c>
      <c r="F113" s="17" t="n">
        <v>34.3</v>
      </c>
      <c r="G113" s="17" t="n">
        <v>20.9</v>
      </c>
      <c r="H113" s="17" t="n">
        <v>1</v>
      </c>
      <c r="I113" s="16" t="inlineStr">
        <is>
          <t>ELEVATION A2-ADA</t>
        </is>
      </c>
      <c r="J113" s="16" t="inlineStr">
        <is>
          <t>Left side, near sink area</t>
        </is>
      </c>
    </row>
    <row r="114">
      <c r="A114" s="16" t="n">
        <v>28</v>
      </c>
      <c r="B114" s="10" t="inlineStr">
        <is>
          <t>MED6-ADA</t>
        </is>
      </c>
      <c r="C114" s="16" t="inlineStr">
        <is>
          <t>medicine_cabinet 5.9"W × 11.8"H</t>
        </is>
      </c>
      <c r="D114" s="16" t="inlineStr">
        <is>
          <t>Medicine Cabinet</t>
        </is>
      </c>
      <c r="E114" s="17" t="n">
        <v>5.9</v>
      </c>
      <c r="F114" s="17" t="n">
        <v>11.8</v>
      </c>
      <c r="G114" s="17" t="n">
        <v>5.1</v>
      </c>
      <c r="H114" s="17" t="n">
        <v>1</v>
      </c>
      <c r="I114" s="16" t="inlineStr">
        <is>
          <t>ELEVATION A2-ADA</t>
        </is>
      </c>
      <c r="J114" s="16" t="inlineStr">
        <is>
          <t>Above vanity, left side</t>
        </is>
      </c>
    </row>
    <row r="115">
      <c r="A115" s="16" t="n">
        <v>29</v>
      </c>
      <c r="B115" s="10" t="inlineStr">
        <is>
          <t>LIN12-ADA</t>
        </is>
      </c>
      <c r="C115" s="16" t="inlineStr">
        <is>
          <t>linen 11.8"W × 23.6"H</t>
        </is>
      </c>
      <c r="D115" s="16" t="inlineStr">
        <is>
          <t>Linen</t>
        </is>
      </c>
      <c r="E115" s="17" t="n">
        <v>11.8</v>
      </c>
      <c r="F115" s="17" t="n">
        <v>23.6</v>
      </c>
      <c r="G115" s="17" t="n">
        <v>13</v>
      </c>
      <c r="H115" s="17" t="n">
        <v>1</v>
      </c>
      <c r="I115" s="16" t="inlineStr">
        <is>
          <t>ELEVATION A2-ADA</t>
        </is>
      </c>
      <c r="J115" s="16" t="inlineStr">
        <is>
          <t>Right side, above floor</t>
        </is>
      </c>
    </row>
    <row r="116">
      <c r="A116" s="16" t="n">
        <v>30</v>
      </c>
      <c r="B116" s="10" t="inlineStr">
        <is>
          <t>VAN30-ADA</t>
        </is>
      </c>
      <c r="C116" s="16" t="inlineStr">
        <is>
          <t>vanity 30.0"W × 34.3"H</t>
        </is>
      </c>
      <c r="D116" s="16" t="inlineStr">
        <is>
          <t>Vanity</t>
        </is>
      </c>
      <c r="E116" s="17" t="n">
        <v>30</v>
      </c>
      <c r="F116" s="17" t="n">
        <v>34.3</v>
      </c>
      <c r="G116" s="17" t="n">
        <v>20.9</v>
      </c>
      <c r="H116" s="17" t="n">
        <v>1</v>
      </c>
      <c r="I116" s="16" t="inlineStr">
        <is>
          <t>ELEVATION_B</t>
        </is>
      </c>
      <c r="J116" s="16" t="inlineStr">
        <is>
          <t>Left side, near sink area</t>
        </is>
      </c>
    </row>
    <row r="117">
      <c r="A117" s="16" t="n">
        <v>31</v>
      </c>
      <c r="B117" s="10" t="inlineStr">
        <is>
          <t>MED6-ADA</t>
        </is>
      </c>
      <c r="C117" s="16" t="inlineStr">
        <is>
          <t>medicine_cabinet 5.9"W × 11.8"H</t>
        </is>
      </c>
      <c r="D117" s="16" t="inlineStr">
        <is>
          <t>Medicine Cabinet</t>
        </is>
      </c>
      <c r="E117" s="17" t="n">
        <v>5.9</v>
      </c>
      <c r="F117" s="17" t="n">
        <v>11.8</v>
      </c>
      <c r="G117" s="17" t="n">
        <v>13</v>
      </c>
      <c r="H117" s="17" t="n">
        <v>1</v>
      </c>
      <c r="I117" s="16" t="inlineStr">
        <is>
          <t>ELEVATION_B</t>
        </is>
      </c>
      <c r="J117" s="16" t="inlineStr">
        <is>
          <t>Above vanity</t>
        </is>
      </c>
    </row>
    <row r="118">
      <c r="A118" s="16" t="n">
        <v>32</v>
      </c>
      <c r="B118" s="10" t="inlineStr">
        <is>
          <t>LIN16-ADA</t>
        </is>
      </c>
      <c r="C118" s="16" t="inlineStr">
        <is>
          <t>linen 15.7"W × 83.9"H</t>
        </is>
      </c>
      <c r="D118" s="16" t="inlineStr">
        <is>
          <t>Linen</t>
        </is>
      </c>
      <c r="E118" s="17" t="n">
        <v>15.7</v>
      </c>
      <c r="F118" s="17" t="n">
        <v>83.90000000000001</v>
      </c>
      <c r="G118" s="17" t="n">
        <v>23.6</v>
      </c>
      <c r="H118" s="17" t="n">
        <v>1</v>
      </c>
      <c r="I118" s="16" t="inlineStr">
        <is>
          <t>ELEVATION_B</t>
        </is>
      </c>
      <c r="J118" s="16" t="inlineStr">
        <is>
          <t>Right side, floor to ceiling</t>
        </is>
      </c>
    </row>
    <row r="119">
      <c r="A119" s="16" t="n">
        <v>33</v>
      </c>
      <c r="B119" s="10" t="inlineStr">
        <is>
          <t>VAN71-ADA</t>
        </is>
      </c>
      <c r="C119" s="16" t="inlineStr">
        <is>
          <t>vanity 70.9"W × 34.3"H</t>
        </is>
      </c>
      <c r="D119" s="16" t="inlineStr">
        <is>
          <t>Vanity</t>
        </is>
      </c>
      <c r="E119" s="17" t="n">
        <v>70.90000000000001</v>
      </c>
      <c r="F119" s="17" t="n">
        <v>34.3</v>
      </c>
      <c r="G119" s="17" t="n">
        <v>20.9</v>
      </c>
      <c r="H119" s="17" t="n">
        <v>1</v>
      </c>
      <c r="I119" s="16" t="inlineStr">
        <is>
          <t>ELEVATION A</t>
        </is>
      </c>
      <c r="J119" s="16" t="inlineStr">
        <is>
          <t>Left side, near sink area</t>
        </is>
      </c>
    </row>
    <row r="120">
      <c r="A120" s="16" t="n">
        <v>34</v>
      </c>
      <c r="B120" s="10" t="inlineStr">
        <is>
          <t>MED6-ADA</t>
        </is>
      </c>
      <c r="C120" s="16" t="inlineStr">
        <is>
          <t>medicine_cabinet 5.9"W × 11.8"H</t>
        </is>
      </c>
      <c r="D120" s="16" t="inlineStr">
        <is>
          <t>Medicine Cabinet</t>
        </is>
      </c>
      <c r="E120" s="17" t="n">
        <v>5.9</v>
      </c>
      <c r="F120" s="17" t="n">
        <v>11.8</v>
      </c>
      <c r="G120" s="17" t="n">
        <v>13</v>
      </c>
      <c r="H120" s="17" t="n">
        <v>1</v>
      </c>
      <c r="I120" s="16" t="inlineStr">
        <is>
          <t>ELEVATION A</t>
        </is>
      </c>
      <c r="J120" s="16" t="inlineStr">
        <is>
          <t>Above sink area</t>
        </is>
      </c>
    </row>
    <row r="121">
      <c r="A121" s="16" t="n">
        <v>35</v>
      </c>
      <c r="B121" s="10" t="inlineStr">
        <is>
          <t>LIN16-ADA</t>
        </is>
      </c>
      <c r="C121" s="16" t="inlineStr">
        <is>
          <t>linen 15.7"W × 83.9"H</t>
        </is>
      </c>
      <c r="D121" s="16" t="inlineStr">
        <is>
          <t>Linen</t>
        </is>
      </c>
      <c r="E121" s="17" t="n">
        <v>15.7</v>
      </c>
      <c r="F121" s="17" t="n">
        <v>83.90000000000001</v>
      </c>
      <c r="G121" s="17" t="n">
        <v>23.6</v>
      </c>
      <c r="H121" s="17" t="n">
        <v>1</v>
      </c>
      <c r="I121" s="16" t="inlineStr">
        <is>
          <t>ELEVATION A</t>
        </is>
      </c>
      <c r="J121" s="16" t="inlineStr">
        <is>
          <t>Right side, floor to ceiling</t>
        </is>
      </c>
    </row>
    <row r="122">
      <c r="A122" s="16" t="n">
        <v>36</v>
      </c>
      <c r="B122" s="10" t="inlineStr">
        <is>
          <t>VAN24-ADA</t>
        </is>
      </c>
      <c r="C122" s="16" t="inlineStr">
        <is>
          <t>vanity 23.6"W × 34.3"H</t>
        </is>
      </c>
      <c r="D122" s="16" t="inlineStr">
        <is>
          <t>Vanity</t>
        </is>
      </c>
      <c r="E122" s="17" t="n">
        <v>23.6</v>
      </c>
      <c r="F122" s="17" t="n">
        <v>34.3</v>
      </c>
      <c r="G122" s="17" t="n">
        <v>20.9</v>
      </c>
      <c r="H122" s="17" t="n">
        <v>1</v>
      </c>
      <c r="I122" s="16" t="inlineStr">
        <is>
          <t>ELEVATION A2-ADA</t>
        </is>
      </c>
      <c r="J122" s="16" t="inlineStr">
        <is>
          <t>Left side, below sink</t>
        </is>
      </c>
    </row>
    <row r="123">
      <c r="A123" s="16" t="n">
        <v>37</v>
      </c>
      <c r="B123" s="10" t="inlineStr">
        <is>
          <t>MED6-ADA</t>
        </is>
      </c>
      <c r="C123" s="16" t="inlineStr">
        <is>
          <t>medicine_cabinet 5.9"W × 11.8"H</t>
        </is>
      </c>
      <c r="D123" s="16" t="inlineStr">
        <is>
          <t>Medicine Cabinet</t>
        </is>
      </c>
      <c r="E123" s="17" t="n">
        <v>5.9</v>
      </c>
      <c r="F123" s="17" t="n">
        <v>11.8</v>
      </c>
      <c r="G123" s="17" t="n">
        <v>5.1</v>
      </c>
      <c r="H123" s="17" t="n">
        <v>1</v>
      </c>
      <c r="I123" s="16" t="inlineStr">
        <is>
          <t>ELEVATION A2-ADA</t>
        </is>
      </c>
      <c r="J123" s="16" t="inlineStr">
        <is>
          <t>Above vanity</t>
        </is>
      </c>
    </row>
    <row r="124">
      <c r="A124" s="16" t="n">
        <v>38</v>
      </c>
      <c r="B124" s="10" t="inlineStr">
        <is>
          <t>VAN47-ADA</t>
        </is>
      </c>
      <c r="C124" s="16" t="inlineStr">
        <is>
          <t>vanity 47.2"W × 34.3"H</t>
        </is>
      </c>
      <c r="D124" s="16" t="inlineStr">
        <is>
          <t>Vanity</t>
        </is>
      </c>
      <c r="E124" s="17" t="n">
        <v>47.2</v>
      </c>
      <c r="F124" s="17" t="n">
        <v>34.3</v>
      </c>
      <c r="G124" s="17" t="n">
        <v>20.9</v>
      </c>
      <c r="H124" s="17" t="n">
        <v>1</v>
      </c>
      <c r="I124" s="16" t="inlineStr">
        <is>
          <t>ELEVATION A</t>
        </is>
      </c>
      <c r="J124" s="16" t="inlineStr">
        <is>
          <t>Center, under sink</t>
        </is>
      </c>
    </row>
    <row r="125">
      <c r="A125" s="16" t="n">
        <v>39</v>
      </c>
      <c r="B125" s="10" t="inlineStr">
        <is>
          <t>MED6-ADA</t>
        </is>
      </c>
      <c r="C125" s="16" t="inlineStr">
        <is>
          <t>medicine_cabinet 5.9"W × 11.8"H</t>
        </is>
      </c>
      <c r="D125" s="16" t="inlineStr">
        <is>
          <t>Medicine Cabinet</t>
        </is>
      </c>
      <c r="E125" s="17" t="n">
        <v>5.9</v>
      </c>
      <c r="F125" s="17" t="n">
        <v>11.8</v>
      </c>
      <c r="G125" s="17" t="n">
        <v>5.9</v>
      </c>
      <c r="H125" s="17" t="n">
        <v>1</v>
      </c>
      <c r="I125" s="16" t="inlineStr">
        <is>
          <t>ELEVATION A</t>
        </is>
      </c>
      <c r="J125" s="16" t="inlineStr">
        <is>
          <t>Right side, above countertop</t>
        </is>
      </c>
    </row>
    <row r="126">
      <c r="A126" s="16" t="n">
        <v>40</v>
      </c>
      <c r="B126" s="10" t="inlineStr">
        <is>
          <t>VAN30-ADA</t>
        </is>
      </c>
      <c r="C126" s="16" t="inlineStr">
        <is>
          <t>vanity 30.0"W × 34.3"H</t>
        </is>
      </c>
      <c r="D126" s="16" t="inlineStr">
        <is>
          <t>Vanity</t>
        </is>
      </c>
      <c r="E126" s="17" t="n">
        <v>30</v>
      </c>
      <c r="F126" s="17" t="n">
        <v>34.3</v>
      </c>
      <c r="G126" s="17" t="n">
        <v>20.9</v>
      </c>
      <c r="H126" s="17" t="n">
        <v>1</v>
      </c>
      <c r="I126" s="16" t="inlineStr">
        <is>
          <t>ELEVATION B</t>
        </is>
      </c>
      <c r="J126" s="16" t="inlineStr">
        <is>
          <t>Center, under sink</t>
        </is>
      </c>
    </row>
    <row r="127">
      <c r="A127" s="16" t="n">
        <v>41</v>
      </c>
      <c r="B127" s="10" t="inlineStr">
        <is>
          <t>MED6-ADA</t>
        </is>
      </c>
      <c r="C127" s="16" t="inlineStr">
        <is>
          <t>medicine_cabinet 5.9"W × 11.8"H</t>
        </is>
      </c>
      <c r="D127" s="16" t="inlineStr">
        <is>
          <t>Medicine Cabinet</t>
        </is>
      </c>
      <c r="E127" s="17" t="n">
        <v>5.9</v>
      </c>
      <c r="F127" s="17" t="n">
        <v>11.8</v>
      </c>
      <c r="G127" s="17" t="n">
        <v>13</v>
      </c>
      <c r="H127" s="17" t="n">
        <v>1</v>
      </c>
      <c r="I127" s="16" t="inlineStr">
        <is>
          <t>ELEVATION B</t>
        </is>
      </c>
      <c r="J127" s="16" t="inlineStr">
        <is>
          <t>Right side, above vanity</t>
        </is>
      </c>
    </row>
    <row r="128">
      <c r="A128" s="16" t="n">
        <v>42</v>
      </c>
      <c r="B128" s="10" t="inlineStr">
        <is>
          <t>LIN12-ADA</t>
        </is>
      </c>
      <c r="C128" s="16" t="inlineStr">
        <is>
          <t>linen 11.8"W × 83.9"H</t>
        </is>
      </c>
      <c r="D128" s="16" t="inlineStr">
        <is>
          <t>Linen</t>
        </is>
      </c>
      <c r="E128" s="17" t="n">
        <v>11.8</v>
      </c>
      <c r="F128" s="17" t="n">
        <v>83.90000000000001</v>
      </c>
      <c r="G128" s="17" t="n">
        <v>23.6</v>
      </c>
      <c r="H128" s="17" t="n">
        <v>1</v>
      </c>
      <c r="I128" s="16" t="inlineStr">
        <is>
          <t>ELEVATION B</t>
        </is>
      </c>
      <c r="J128" s="16" t="inlineStr">
        <is>
          <t>Right side, floor to ceiling</t>
        </is>
      </c>
    </row>
    <row r="129">
      <c r="A129" s="16" t="n">
        <v>43</v>
      </c>
      <c r="B129" s="10" t="inlineStr">
        <is>
          <t>VAN30-ADA</t>
        </is>
      </c>
      <c r="C129" s="16" t="inlineStr">
        <is>
          <t>vanity 30.0"W × 34.3"H</t>
        </is>
      </c>
      <c r="D129" s="16" t="inlineStr">
        <is>
          <t>Vanity</t>
        </is>
      </c>
      <c r="E129" s="17" t="n">
        <v>30</v>
      </c>
      <c r="F129" s="17" t="n">
        <v>34.3</v>
      </c>
      <c r="G129" s="17" t="n">
        <v>20.9</v>
      </c>
      <c r="H129" s="17" t="n">
        <v>1</v>
      </c>
      <c r="I129" s="16" t="inlineStr">
        <is>
          <t>UNIT A2 FA BATHROOM EL.</t>
        </is>
      </c>
      <c r="J129" s="16" t="inlineStr">
        <is>
          <t>Center, below sink</t>
        </is>
      </c>
    </row>
    <row r="130">
      <c r="A130" s="16" t="n">
        <v>44</v>
      </c>
      <c r="B130" s="10" t="inlineStr">
        <is>
          <t>MED12-ADA</t>
        </is>
      </c>
      <c r="C130" s="16" t="inlineStr">
        <is>
          <t>medicine_cabinet 11.8"W × 11.8"H</t>
        </is>
      </c>
      <c r="D130" s="16" t="inlineStr">
        <is>
          <t>Medicine Cabinet</t>
        </is>
      </c>
      <c r="E130" s="17" t="n">
        <v>11.8</v>
      </c>
      <c r="F130" s="17" t="n">
        <v>11.8</v>
      </c>
      <c r="G130" s="17" t="n">
        <v>13</v>
      </c>
      <c r="H130" s="17" t="n">
        <v>1</v>
      </c>
      <c r="I130" s="16" t="inlineStr">
        <is>
          <t>UNIT A2 FA BATHROOM EL.</t>
        </is>
      </c>
      <c r="J130" s="16" t="inlineStr">
        <is>
          <t>Right side, above sink</t>
        </is>
      </c>
    </row>
    <row r="131">
      <c r="A131" s="16" t="n">
        <v>45</v>
      </c>
      <c r="B131" s="10" t="inlineStr">
        <is>
          <t>LIN16-ADA</t>
        </is>
      </c>
      <c r="C131" s="16" t="inlineStr">
        <is>
          <t>linen 15.7"W × 83.9"H</t>
        </is>
      </c>
      <c r="D131" s="16" t="inlineStr">
        <is>
          <t>Linen</t>
        </is>
      </c>
      <c r="E131" s="17" t="n">
        <v>15.7</v>
      </c>
      <c r="F131" s="17" t="n">
        <v>83.90000000000001</v>
      </c>
      <c r="G131" s="17" t="n">
        <v>23.6</v>
      </c>
      <c r="H131" s="17" t="n">
        <v>1</v>
      </c>
      <c r="I131" s="16" t="inlineStr">
        <is>
          <t>UNIT A2 FA BATHROOM EL.</t>
        </is>
      </c>
      <c r="J131" s="16" t="inlineStr">
        <is>
          <t>Right side, floor to ceiling</t>
        </is>
      </c>
    </row>
    <row r="132">
      <c r="A132" s="16" t="n">
        <v>46</v>
      </c>
      <c r="B132" s="10" t="inlineStr">
        <is>
          <t>VAN30-ADA</t>
        </is>
      </c>
      <c r="C132" s="16" t="inlineStr">
        <is>
          <t>vanity 30.0"W × 34.3"H</t>
        </is>
      </c>
      <c r="D132" s="16" t="inlineStr">
        <is>
          <t>Vanity</t>
        </is>
      </c>
      <c r="E132" s="17" t="n">
        <v>30</v>
      </c>
      <c r="F132" s="17" t="n">
        <v>34.3</v>
      </c>
      <c r="G132" s="17" t="n">
        <v>20.9</v>
      </c>
      <c r="H132" s="17" t="n">
        <v>1</v>
      </c>
      <c r="I132" s="16" t="inlineStr">
        <is>
          <t>UNIT A2 FA BATHROOM EL.</t>
        </is>
      </c>
      <c r="J132" s="16" t="inlineStr">
        <is>
          <t>Left side of bathroom</t>
        </is>
      </c>
    </row>
    <row r="133">
      <c r="A133" s="16" t="n">
        <v>47</v>
      </c>
      <c r="B133" s="10" t="inlineStr">
        <is>
          <t>MED6-ADA</t>
        </is>
      </c>
      <c r="C133" s="16" t="inlineStr">
        <is>
          <t>medicine_cabinet 5.9"W × 11.8"H</t>
        </is>
      </c>
      <c r="D133" s="16" t="inlineStr">
        <is>
          <t>Medicine Cabinet</t>
        </is>
      </c>
      <c r="E133" s="17" t="n">
        <v>5.9</v>
      </c>
      <c r="F133" s="17" t="n">
        <v>11.8</v>
      </c>
      <c r="G133" s="17" t="n">
        <v>13</v>
      </c>
      <c r="H133" s="17" t="n">
        <v>1</v>
      </c>
      <c r="I133" s="16" t="inlineStr">
        <is>
          <t>UNIT A2 FA BATHROOM EL.</t>
        </is>
      </c>
      <c r="J133" s="16" t="inlineStr">
        <is>
          <t>Above sink</t>
        </is>
      </c>
    </row>
    <row r="134">
      <c r="A134" s="16" t="n">
        <v>48</v>
      </c>
      <c r="B134" s="10" t="inlineStr">
        <is>
          <t>LIN16-ADA</t>
        </is>
      </c>
      <c r="C134" s="16" t="inlineStr">
        <is>
          <t>linen 15.7"W × 83.9"H</t>
        </is>
      </c>
      <c r="D134" s="16" t="inlineStr">
        <is>
          <t>Linen</t>
        </is>
      </c>
      <c r="E134" s="17" t="n">
        <v>15.7</v>
      </c>
      <c r="F134" s="17" t="n">
        <v>83.90000000000001</v>
      </c>
      <c r="G134" s="17" t="n">
        <v>23.6</v>
      </c>
      <c r="H134" s="17" t="n">
        <v>1</v>
      </c>
      <c r="I134" s="16" t="inlineStr">
        <is>
          <t>UNIT A2 FA BATHROOM EL.</t>
        </is>
      </c>
      <c r="J134" s="16" t="inlineStr">
        <is>
          <t>Right side of bathroom</t>
        </is>
      </c>
    </row>
    <row r="135">
      <c r="A135" s="16" t="n">
        <v>49</v>
      </c>
      <c r="B135" s="10" t="inlineStr">
        <is>
          <t>VAN47-ADA</t>
        </is>
      </c>
      <c r="C135" s="16" t="inlineStr">
        <is>
          <t>vanity 47.2"W × 34.3"H</t>
        </is>
      </c>
      <c r="D135" s="16" t="inlineStr">
        <is>
          <t>Vanity</t>
        </is>
      </c>
      <c r="E135" s="17" t="n">
        <v>47.2</v>
      </c>
      <c r="F135" s="17" t="n">
        <v>34.3</v>
      </c>
      <c r="G135" s="17" t="n">
        <v>20.9</v>
      </c>
      <c r="H135" s="17" t="n">
        <v>1</v>
      </c>
      <c r="I135" s="16" t="inlineStr">
        <is>
          <t>ELEVATION A</t>
        </is>
      </c>
      <c r="J135" s="16" t="inlineStr">
        <is>
          <t>Bathroom vanity</t>
        </is>
      </c>
    </row>
    <row r="136">
      <c r="A136" s="16" t="n">
        <v>50</v>
      </c>
      <c r="B136" s="10" t="inlineStr">
        <is>
          <t>MED12-ADA</t>
        </is>
      </c>
      <c r="C136" s="16" t="inlineStr">
        <is>
          <t>medicine_cabinet 11.8"W × 5.9"H</t>
        </is>
      </c>
      <c r="D136" s="16" t="inlineStr">
        <is>
          <t>Medicine Cabinet</t>
        </is>
      </c>
      <c r="E136" s="17" t="n">
        <v>11.8</v>
      </c>
      <c r="F136" s="17" t="n">
        <v>5.9</v>
      </c>
      <c r="G136" s="17" t="n">
        <v>5.9</v>
      </c>
      <c r="H136" s="17" t="n">
        <v>1</v>
      </c>
      <c r="I136" s="16" t="inlineStr">
        <is>
          <t>ELEVATION A</t>
        </is>
      </c>
      <c r="J136" s="16" t="inlineStr">
        <is>
          <t>Above sink</t>
        </is>
      </c>
    </row>
    <row r="137">
      <c r="A137" s="16" t="n">
        <v>51</v>
      </c>
      <c r="B137" s="10" t="inlineStr">
        <is>
          <t>VAN35-ADA</t>
        </is>
      </c>
      <c r="C137" s="16" t="inlineStr">
        <is>
          <t>vanity 35.4"W × 34.3"H</t>
        </is>
      </c>
      <c r="D137" s="16" t="inlineStr">
        <is>
          <t>Vanity</t>
        </is>
      </c>
      <c r="E137" s="17" t="n">
        <v>35.4</v>
      </c>
      <c r="F137" s="17" t="n">
        <v>34.3</v>
      </c>
      <c r="G137" s="17" t="n">
        <v>20.9</v>
      </c>
      <c r="H137" s="17" t="n">
        <v>1</v>
      </c>
      <c r="I137" s="16" t="inlineStr">
        <is>
          <t>UNIT A2 FA BATHROOM EL.</t>
        </is>
      </c>
      <c r="J137" s="16" t="inlineStr">
        <is>
          <t>Left side, below sink</t>
        </is>
      </c>
    </row>
    <row r="138">
      <c r="A138" s="16" t="n">
        <v>52</v>
      </c>
      <c r="B138" s="10" t="inlineStr">
        <is>
          <t>MED30-ADA</t>
        </is>
      </c>
      <c r="C138" s="16" t="inlineStr">
        <is>
          <t>medicine_cabinet 30.0"W × 11.8"H</t>
        </is>
      </c>
      <c r="D138" s="16" t="inlineStr">
        <is>
          <t>Medicine Cabinet</t>
        </is>
      </c>
      <c r="E138" s="17" t="n">
        <v>30</v>
      </c>
      <c r="F138" s="17" t="n">
        <v>11.8</v>
      </c>
      <c r="G138" s="17" t="n">
        <v>13</v>
      </c>
      <c r="H138" s="17" t="n">
        <v>1</v>
      </c>
      <c r="I138" s="16" t="inlineStr">
        <is>
          <t>UNIT A2 FA BATHROOM EL.</t>
        </is>
      </c>
      <c r="J138" s="16" t="inlineStr">
        <is>
          <t>Above vanity</t>
        </is>
      </c>
    </row>
    <row r="139">
      <c r="A139" s="16" t="n">
        <v>53</v>
      </c>
      <c r="B139" s="10" t="inlineStr">
        <is>
          <t>LIN16-ADA</t>
        </is>
      </c>
      <c r="C139" s="16" t="inlineStr">
        <is>
          <t>linen 15.7"W × 83.9"H</t>
        </is>
      </c>
      <c r="D139" s="16" t="inlineStr">
        <is>
          <t>Linen</t>
        </is>
      </c>
      <c r="E139" s="17" t="n">
        <v>15.7</v>
      </c>
      <c r="F139" s="17" t="n">
        <v>83.90000000000001</v>
      </c>
      <c r="G139" s="17" t="n">
        <v>23.6</v>
      </c>
      <c r="H139" s="17" t="n">
        <v>1</v>
      </c>
      <c r="I139" s="16" t="inlineStr">
        <is>
          <t>UNIT A2 FA BATHROOM EL.</t>
        </is>
      </c>
      <c r="J139" s="16" t="inlineStr">
        <is>
          <t>Right side, floor to ceiling</t>
        </is>
      </c>
    </row>
    <row r="140">
      <c r="A140" s="13" t="inlineStr">
        <is>
          <t>BATHROOM SUBTOTALS</t>
        </is>
      </c>
      <c r="B140" s="25" t="n"/>
      <c r="C140" s="25" t="n"/>
      <c r="D140" s="25" t="n"/>
      <c r="E140" s="25" t="n"/>
      <c r="F140" s="25" t="n"/>
      <c r="G140" s="25" t="n"/>
      <c r="H140" s="13" t="n">
        <v>53</v>
      </c>
      <c r="I140" s="25" t="n"/>
      <c r="J140" s="25" t="n"/>
    </row>
    <row r="141"/>
    <row r="142">
      <c r="A142" s="13" t="inlineStr">
        <is>
          <t>UNIT A2-ADA GRAND TOTAL</t>
        </is>
      </c>
      <c r="B142" s="25" t="n"/>
      <c r="C142" s="25" t="n"/>
      <c r="D142" s="25" t="n"/>
      <c r="E142" s="25" t="n"/>
      <c r="F142" s="25" t="n"/>
      <c r="G142" s="25" t="n"/>
      <c r="H142" s="33" t="n">
        <v>124</v>
      </c>
      <c r="I142" s="25" t="n"/>
      <c r="J142" s="25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selection activeCell="A1" sqref="A1"/>
    </sheetView>
  </sheetViews>
  <sheetFormatPr baseColWidth="8" defaultRowHeight="15"/>
  <cols>
    <col width="52" customWidth="1" min="1" max="1"/>
    <col width="46" customWidth="1" min="2" max="2"/>
    <col width="13" customWidth="1" min="3" max="3"/>
    <col width="10" customWidth="1" min="4" max="4"/>
    <col width="14" customWidth="1" min="5" max="5"/>
    <col width="17" customWidth="1" min="6" max="6"/>
    <col width="10" customWidth="1" min="7" max="7"/>
    <col width="10" customWidth="1" min="8" max="8"/>
    <col width="14" customWidth="1" min="9" max="9"/>
    <col width="22" customWidth="1" min="10" max="10"/>
  </cols>
  <sheetData>
    <row r="1">
      <c r="A1" s="1" t="inlineStr">
        <is>
          <t>CABINET SHOP DRAWING — UNIT SCHEDULE</t>
        </is>
      </c>
    </row>
    <row r="2">
      <c r="A2" s="2" t="inlineStr">
        <is>
          <t>Atlantic Pacific Communities  |  Corwil Architects</t>
        </is>
      </c>
    </row>
    <row r="3"/>
    <row r="4">
      <c r="A4" s="3" t="inlineStr">
        <is>
          <t>PROJECT:</t>
        </is>
      </c>
      <c r="B4" s="5" t="inlineStr">
        <is>
          <t>CASA FAMILIA</t>
        </is>
      </c>
      <c r="E4" s="3" t="inlineStr">
        <is>
          <t>UNIT TYPE:</t>
        </is>
      </c>
      <c r="F4" s="3" t="inlineStr">
        <is>
          <t>A3</t>
        </is>
      </c>
      <c r="I4" s="3" t="inlineStr">
        <is>
          <t>DATE:</t>
        </is>
      </c>
      <c r="J4" s="5">
        <f>TODAY()</f>
        <v/>
      </c>
    </row>
    <row r="5">
      <c r="A5" s="3" t="inlineStr">
        <is>
          <t>ADDRESS:</t>
        </is>
      </c>
      <c r="B5" s="5" t="inlineStr">
        <is>
          <t>10951 SW 84th St., Miami-Dade, Florida 33173</t>
        </is>
      </c>
      <c r="E5" s="3" t="inlineStr">
        <is>
          <t>DESCRIPTION:</t>
        </is>
      </c>
      <c r="F5" s="5" t="inlineStr">
        <is>
          <t>FHA Type B Unit</t>
        </is>
      </c>
      <c r="I5" s="3" t="inlineStr">
        <is>
          <t>PREPARED BY:</t>
        </is>
      </c>
      <c r="J5" s="5" t="inlineStr">
        <is>
          <t>AI Estimation System</t>
        </is>
      </c>
    </row>
    <row r="6">
      <c r="A6" s="3" t="inlineStr">
        <is>
          <t>DRAWING REF:</t>
        </is>
      </c>
      <c r="B6" s="5" t="inlineStr">
        <is>
          <t>CASA FAMILIA Unit Plans</t>
        </is>
      </c>
      <c r="E6" s="3" t="inlineStr">
        <is>
          <t>FINISH TIER:</t>
        </is>
      </c>
      <c r="F6" s="5" t="inlineStr">
        <is>
          <t>Standard 1</t>
        </is>
      </c>
    </row>
    <row r="7"/>
    <row r="8">
      <c r="A8" s="32" t="inlineStr">
        <is>
          <t>SECTION 1 — KITCHEN CABINETS</t>
        </is>
      </c>
    </row>
    <row r="9"/>
    <row r="10">
      <c r="A10" s="9" t="inlineStr">
        <is>
          <t>Item</t>
        </is>
      </c>
      <c r="B10" s="9" t="inlineStr">
        <is>
          <t>Cabinet Code</t>
        </is>
      </c>
      <c r="C10" s="9" t="inlineStr">
        <is>
          <t>Description</t>
        </is>
      </c>
      <c r="D10" s="9" t="inlineStr">
        <is>
          <t>Type</t>
        </is>
      </c>
      <c r="E10" s="9" t="inlineStr">
        <is>
          <t>W (in)</t>
        </is>
      </c>
      <c r="F10" s="9" t="inlineStr">
        <is>
          <t>H (in)</t>
        </is>
      </c>
      <c r="G10" s="9" t="inlineStr">
        <is>
          <t>D (in)</t>
        </is>
      </c>
      <c r="H10" s="9" t="inlineStr">
        <is>
          <t>Qty</t>
        </is>
      </c>
      <c r="I10" s="9" t="inlineStr">
        <is>
          <t>Elev. Ref.</t>
        </is>
      </c>
      <c r="J10" s="9" t="inlineStr">
        <is>
          <t>Location Note</t>
        </is>
      </c>
    </row>
    <row r="11">
      <c r="A11" s="13" t="inlineStr">
        <is>
          <t>KITCHEN SUBTOTALS</t>
        </is>
      </c>
      <c r="B11" s="25" t="n"/>
      <c r="C11" s="25" t="n"/>
      <c r="D11" s="25" t="n"/>
      <c r="E11" s="25" t="n"/>
      <c r="F11" s="25" t="n"/>
      <c r="G11" s="25" t="n"/>
      <c r="H11" s="13" t="n">
        <v>0</v>
      </c>
      <c r="I11" s="25" t="n"/>
      <c r="J11" s="25" t="n"/>
    </row>
    <row r="12"/>
    <row r="13">
      <c r="A13" s="32" t="inlineStr">
        <is>
          <t>SECTION 2 — BATHROOM VANITY CABINETS</t>
        </is>
      </c>
    </row>
    <row r="14"/>
    <row r="15">
      <c r="A15" s="9" t="inlineStr">
        <is>
          <t>Item</t>
        </is>
      </c>
      <c r="B15" s="9" t="inlineStr">
        <is>
          <t>Cabinet Code</t>
        </is>
      </c>
      <c r="C15" s="9" t="inlineStr">
        <is>
          <t>Description</t>
        </is>
      </c>
      <c r="D15" s="9" t="inlineStr">
        <is>
          <t>Type</t>
        </is>
      </c>
      <c r="E15" s="9" t="inlineStr">
        <is>
          <t>W (in)</t>
        </is>
      </c>
      <c r="F15" s="9" t="inlineStr">
        <is>
          <t>H (in)</t>
        </is>
      </c>
      <c r="G15" s="9" t="inlineStr">
        <is>
          <t>D (in)</t>
        </is>
      </c>
      <c r="H15" s="9" t="inlineStr">
        <is>
          <t>Qty</t>
        </is>
      </c>
      <c r="I15" s="9" t="inlineStr">
        <is>
          <t>Elev. Ref.</t>
        </is>
      </c>
      <c r="J15" s="9" t="inlineStr">
        <is>
          <t>Location Note</t>
        </is>
      </c>
    </row>
    <row r="16">
      <c r="A16" s="13" t="inlineStr">
        <is>
          <t>BATHROOM SUBTOTALS</t>
        </is>
      </c>
      <c r="B16" s="25" t="n"/>
      <c r="C16" s="25" t="n"/>
      <c r="D16" s="25" t="n"/>
      <c r="E16" s="25" t="n"/>
      <c r="F16" s="25" t="n"/>
      <c r="G16" s="25" t="n"/>
      <c r="H16" s="13" t="n">
        <v>0</v>
      </c>
      <c r="I16" s="25" t="n"/>
      <c r="J16" s="25" t="n"/>
    </row>
    <row r="17"/>
    <row r="18">
      <c r="A18" s="13" t="inlineStr">
        <is>
          <t>UNIT A3 GRAND TOTAL</t>
        </is>
      </c>
      <c r="B18" s="25" t="n"/>
      <c r="C18" s="25" t="n"/>
      <c r="D18" s="25" t="n"/>
      <c r="E18" s="25" t="n"/>
      <c r="F18" s="25" t="n"/>
      <c r="G18" s="25" t="n"/>
      <c r="H18" s="33" t="n">
        <v>0</v>
      </c>
      <c r="I18" s="25" t="n"/>
      <c r="J18" s="25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selection activeCell="A1" sqref="A1"/>
    </sheetView>
  </sheetViews>
  <sheetFormatPr baseColWidth="8" defaultRowHeight="15"/>
  <cols>
    <col width="52" customWidth="1" min="1" max="1"/>
    <col width="46" customWidth="1" min="2" max="2"/>
    <col width="13" customWidth="1" min="3" max="3"/>
    <col width="10" customWidth="1" min="4" max="4"/>
    <col width="14" customWidth="1" min="5" max="5"/>
    <col width="17" customWidth="1" min="6" max="6"/>
    <col width="10" customWidth="1" min="7" max="7"/>
    <col width="10" customWidth="1" min="8" max="8"/>
    <col width="14" customWidth="1" min="9" max="9"/>
    <col width="22" customWidth="1" min="10" max="10"/>
  </cols>
  <sheetData>
    <row r="1">
      <c r="A1" s="1" t="inlineStr">
        <is>
          <t>CABINET SHOP DRAWING — UNIT SCHEDULE</t>
        </is>
      </c>
    </row>
    <row r="2">
      <c r="A2" s="2" t="inlineStr">
        <is>
          <t>Atlantic Pacific Communities  |  Corwil Architects</t>
        </is>
      </c>
    </row>
    <row r="3"/>
    <row r="4">
      <c r="A4" s="3" t="inlineStr">
        <is>
          <t>PROJECT:</t>
        </is>
      </c>
      <c r="B4" s="5" t="inlineStr">
        <is>
          <t>CASA FAMILIA</t>
        </is>
      </c>
      <c r="E4" s="3" t="inlineStr">
        <is>
          <t>UNIT TYPE:</t>
        </is>
      </c>
      <c r="F4" s="3" t="inlineStr">
        <is>
          <t>B1</t>
        </is>
      </c>
      <c r="I4" s="3" t="inlineStr">
        <is>
          <t>DATE:</t>
        </is>
      </c>
      <c r="J4" s="5">
        <f>TODAY()</f>
        <v/>
      </c>
    </row>
    <row r="5">
      <c r="A5" s="3" t="inlineStr">
        <is>
          <t>ADDRESS:</t>
        </is>
      </c>
      <c r="B5" s="5" t="inlineStr">
        <is>
          <t>10951 SW 84th St., Miami-Dade, Florida 33173</t>
        </is>
      </c>
      <c r="E5" s="3" t="inlineStr">
        <is>
          <t>DESCRIPTION:</t>
        </is>
      </c>
      <c r="F5" s="5" t="inlineStr">
        <is>
          <t>FHA Type B Unit</t>
        </is>
      </c>
      <c r="I5" s="3" t="inlineStr">
        <is>
          <t>PREPARED BY:</t>
        </is>
      </c>
      <c r="J5" s="5" t="inlineStr">
        <is>
          <t>AI Estimation System</t>
        </is>
      </c>
    </row>
    <row r="6">
      <c r="A6" s="3" t="inlineStr">
        <is>
          <t>DRAWING REF:</t>
        </is>
      </c>
      <c r="B6" s="5" t="inlineStr">
        <is>
          <t>CASA FAMILIA Unit Plans</t>
        </is>
      </c>
      <c r="E6" s="3" t="inlineStr">
        <is>
          <t>FINISH TIER:</t>
        </is>
      </c>
      <c r="F6" s="5" t="inlineStr">
        <is>
          <t>Standard 1</t>
        </is>
      </c>
    </row>
    <row r="7"/>
    <row r="8">
      <c r="A8" s="32" t="inlineStr">
        <is>
          <t>SECTION 1 — KITCHEN CABINETS</t>
        </is>
      </c>
    </row>
    <row r="9"/>
    <row r="10">
      <c r="A10" s="9" t="inlineStr">
        <is>
          <t>Item</t>
        </is>
      </c>
      <c r="B10" s="9" t="inlineStr">
        <is>
          <t>Cabinet Code</t>
        </is>
      </c>
      <c r="C10" s="9" t="inlineStr">
        <is>
          <t>Description</t>
        </is>
      </c>
      <c r="D10" s="9" t="inlineStr">
        <is>
          <t>Type</t>
        </is>
      </c>
      <c r="E10" s="9" t="inlineStr">
        <is>
          <t>W (in)</t>
        </is>
      </c>
      <c r="F10" s="9" t="inlineStr">
        <is>
          <t>H (in)</t>
        </is>
      </c>
      <c r="G10" s="9" t="inlineStr">
        <is>
          <t>D (in)</t>
        </is>
      </c>
      <c r="H10" s="9" t="inlineStr">
        <is>
          <t>Qty</t>
        </is>
      </c>
      <c r="I10" s="9" t="inlineStr">
        <is>
          <t>Elev. Ref.</t>
        </is>
      </c>
      <c r="J10" s="9" t="inlineStr">
        <is>
          <t>Location Note</t>
        </is>
      </c>
    </row>
    <row r="11">
      <c r="A11" s="13" t="inlineStr">
        <is>
          <t>KITCHEN SUBTOTALS</t>
        </is>
      </c>
      <c r="B11" s="25" t="n"/>
      <c r="C11" s="25" t="n"/>
      <c r="D11" s="25" t="n"/>
      <c r="E11" s="25" t="n"/>
      <c r="F11" s="25" t="n"/>
      <c r="G11" s="25" t="n"/>
      <c r="H11" s="13" t="n">
        <v>0</v>
      </c>
      <c r="I11" s="25" t="n"/>
      <c r="J11" s="25" t="n"/>
    </row>
    <row r="12"/>
    <row r="13">
      <c r="A13" s="32" t="inlineStr">
        <is>
          <t>SECTION 2 — BATHROOM VANITY CABINETS</t>
        </is>
      </c>
    </row>
    <row r="14"/>
    <row r="15">
      <c r="A15" s="9" t="inlineStr">
        <is>
          <t>Item</t>
        </is>
      </c>
      <c r="B15" s="9" t="inlineStr">
        <is>
          <t>Cabinet Code</t>
        </is>
      </c>
      <c r="C15" s="9" t="inlineStr">
        <is>
          <t>Description</t>
        </is>
      </c>
      <c r="D15" s="9" t="inlineStr">
        <is>
          <t>Type</t>
        </is>
      </c>
      <c r="E15" s="9" t="inlineStr">
        <is>
          <t>W (in)</t>
        </is>
      </c>
      <c r="F15" s="9" t="inlineStr">
        <is>
          <t>H (in)</t>
        </is>
      </c>
      <c r="G15" s="9" t="inlineStr">
        <is>
          <t>D (in)</t>
        </is>
      </c>
      <c r="H15" s="9" t="inlineStr">
        <is>
          <t>Qty</t>
        </is>
      </c>
      <c r="I15" s="9" t="inlineStr">
        <is>
          <t>Elev. Ref.</t>
        </is>
      </c>
      <c r="J15" s="9" t="inlineStr">
        <is>
          <t>Location Note</t>
        </is>
      </c>
    </row>
    <row r="16">
      <c r="A16" s="13" t="inlineStr">
        <is>
          <t>BATHROOM SUBTOTALS</t>
        </is>
      </c>
      <c r="B16" s="25" t="n"/>
      <c r="C16" s="25" t="n"/>
      <c r="D16" s="25" t="n"/>
      <c r="E16" s="25" t="n"/>
      <c r="F16" s="25" t="n"/>
      <c r="G16" s="25" t="n"/>
      <c r="H16" s="13" t="n">
        <v>0</v>
      </c>
      <c r="I16" s="25" t="n"/>
      <c r="J16" s="25" t="n"/>
    </row>
    <row r="17"/>
    <row r="18">
      <c r="A18" s="13" t="inlineStr">
        <is>
          <t>UNIT B1 GRAND TOTAL</t>
        </is>
      </c>
      <c r="B18" s="25" t="n"/>
      <c r="C18" s="25" t="n"/>
      <c r="D18" s="25" t="n"/>
      <c r="E18" s="25" t="n"/>
      <c r="F18" s="25" t="n"/>
      <c r="G18" s="25" t="n"/>
      <c r="H18" s="33" t="n">
        <v>0</v>
      </c>
      <c r="I18" s="25" t="n"/>
      <c r="J18" s="25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selection activeCell="A1" sqref="A1"/>
    </sheetView>
  </sheetViews>
  <sheetFormatPr baseColWidth="8" defaultRowHeight="15"/>
  <cols>
    <col width="52" customWidth="1" min="1" max="1"/>
    <col width="46" customWidth="1" min="2" max="2"/>
    <col width="13" customWidth="1" min="3" max="3"/>
    <col width="10" customWidth="1" min="4" max="4"/>
    <col width="14" customWidth="1" min="5" max="5"/>
    <col width="27" customWidth="1" min="6" max="6"/>
    <col width="10" customWidth="1" min="7" max="7"/>
    <col width="10" customWidth="1" min="8" max="8"/>
    <col width="14" customWidth="1" min="9" max="9"/>
    <col width="22" customWidth="1" min="10" max="10"/>
  </cols>
  <sheetData>
    <row r="1">
      <c r="A1" s="1" t="inlineStr">
        <is>
          <t>CABINET SHOP DRAWING — UNIT SCHEDULE</t>
        </is>
      </c>
    </row>
    <row r="2">
      <c r="A2" s="2" t="inlineStr">
        <is>
          <t>Atlantic Pacific Communities  |  Corwil Architects</t>
        </is>
      </c>
    </row>
    <row r="3"/>
    <row r="4">
      <c r="A4" s="3" t="inlineStr">
        <is>
          <t>PROJECT:</t>
        </is>
      </c>
      <c r="B4" s="5" t="inlineStr">
        <is>
          <t>CASA FAMILIA</t>
        </is>
      </c>
      <c r="E4" s="3" t="inlineStr">
        <is>
          <t>UNIT TYPE:</t>
        </is>
      </c>
      <c r="F4" s="3" t="inlineStr">
        <is>
          <t>B2-ADA</t>
        </is>
      </c>
      <c r="I4" s="3" t="inlineStr">
        <is>
          <t>DATE:</t>
        </is>
      </c>
      <c r="J4" s="5">
        <f>TODAY()</f>
        <v/>
      </c>
    </row>
    <row r="5">
      <c r="A5" s="3" t="inlineStr">
        <is>
          <t>ADDRESS:</t>
        </is>
      </c>
      <c r="B5" s="5" t="inlineStr">
        <is>
          <t>10951 SW 84th St., Miami-Dade, Florida 33173</t>
        </is>
      </c>
      <c r="E5" s="3" t="inlineStr">
        <is>
          <t>DESCRIPTION:</t>
        </is>
      </c>
      <c r="F5" s="5" t="inlineStr">
        <is>
          <t>Fully Accessible ADA Unit</t>
        </is>
      </c>
      <c r="I5" s="3" t="inlineStr">
        <is>
          <t>PREPARED BY:</t>
        </is>
      </c>
      <c r="J5" s="5" t="inlineStr">
        <is>
          <t>AI Estimation System</t>
        </is>
      </c>
    </row>
    <row r="6">
      <c r="A6" s="3" t="inlineStr">
        <is>
          <t>DRAWING REF:</t>
        </is>
      </c>
      <c r="B6" s="5" t="inlineStr">
        <is>
          <t>CASA FAMILIA Unit Plans</t>
        </is>
      </c>
      <c r="E6" s="3" t="inlineStr">
        <is>
          <t>FINISH TIER:</t>
        </is>
      </c>
      <c r="F6" s="5" t="inlineStr">
        <is>
          <t>Standard 1</t>
        </is>
      </c>
    </row>
    <row r="7"/>
    <row r="8">
      <c r="A8" s="32" t="inlineStr">
        <is>
          <t>SECTION 1 — KITCHEN CABINETS</t>
        </is>
      </c>
    </row>
    <row r="9"/>
    <row r="10">
      <c r="A10" s="9" t="inlineStr">
        <is>
          <t>Item</t>
        </is>
      </c>
      <c r="B10" s="9" t="inlineStr">
        <is>
          <t>Cabinet Code</t>
        </is>
      </c>
      <c r="C10" s="9" t="inlineStr">
        <is>
          <t>Description</t>
        </is>
      </c>
      <c r="D10" s="9" t="inlineStr">
        <is>
          <t>Type</t>
        </is>
      </c>
      <c r="E10" s="9" t="inlineStr">
        <is>
          <t>W (in)</t>
        </is>
      </c>
      <c r="F10" s="9" t="inlineStr">
        <is>
          <t>H (in)</t>
        </is>
      </c>
      <c r="G10" s="9" t="inlineStr">
        <is>
          <t>D (in)</t>
        </is>
      </c>
      <c r="H10" s="9" t="inlineStr">
        <is>
          <t>Qty</t>
        </is>
      </c>
      <c r="I10" s="9" t="inlineStr">
        <is>
          <t>Elev. Ref.</t>
        </is>
      </c>
      <c r="J10" s="9" t="inlineStr">
        <is>
          <t>Location Note</t>
        </is>
      </c>
    </row>
    <row r="11">
      <c r="A11" s="13" t="inlineStr">
        <is>
          <t>KITCHEN SUBTOTALS</t>
        </is>
      </c>
      <c r="B11" s="25" t="n"/>
      <c r="C11" s="25" t="n"/>
      <c r="D11" s="25" t="n"/>
      <c r="E11" s="25" t="n"/>
      <c r="F11" s="25" t="n"/>
      <c r="G11" s="25" t="n"/>
      <c r="H11" s="13" t="n">
        <v>0</v>
      </c>
      <c r="I11" s="25" t="n"/>
      <c r="J11" s="25" t="n"/>
    </row>
    <row r="12"/>
    <row r="13">
      <c r="A13" s="32" t="inlineStr">
        <is>
          <t>SECTION 2 — BATHROOM VANITY CABINETS</t>
        </is>
      </c>
    </row>
    <row r="14"/>
    <row r="15">
      <c r="A15" s="9" t="inlineStr">
        <is>
          <t>Item</t>
        </is>
      </c>
      <c r="B15" s="9" t="inlineStr">
        <is>
          <t>Cabinet Code</t>
        </is>
      </c>
      <c r="C15" s="9" t="inlineStr">
        <is>
          <t>Description</t>
        </is>
      </c>
      <c r="D15" s="9" t="inlineStr">
        <is>
          <t>Type</t>
        </is>
      </c>
      <c r="E15" s="9" t="inlineStr">
        <is>
          <t>W (in)</t>
        </is>
      </c>
      <c r="F15" s="9" t="inlineStr">
        <is>
          <t>H (in)</t>
        </is>
      </c>
      <c r="G15" s="9" t="inlineStr">
        <is>
          <t>D (in)</t>
        </is>
      </c>
      <c r="H15" s="9" t="inlineStr">
        <is>
          <t>Qty</t>
        </is>
      </c>
      <c r="I15" s="9" t="inlineStr">
        <is>
          <t>Elev. Ref.</t>
        </is>
      </c>
      <c r="J15" s="9" t="inlineStr">
        <is>
          <t>Location Note</t>
        </is>
      </c>
    </row>
    <row r="16">
      <c r="A16" s="13" t="inlineStr">
        <is>
          <t>BATHROOM SUBTOTALS</t>
        </is>
      </c>
      <c r="B16" s="25" t="n"/>
      <c r="C16" s="25" t="n"/>
      <c r="D16" s="25" t="n"/>
      <c r="E16" s="25" t="n"/>
      <c r="F16" s="25" t="n"/>
      <c r="G16" s="25" t="n"/>
      <c r="H16" s="13" t="n">
        <v>0</v>
      </c>
      <c r="I16" s="25" t="n"/>
      <c r="J16" s="25" t="n"/>
    </row>
    <row r="17"/>
    <row r="18">
      <c r="A18" s="13" t="inlineStr">
        <is>
          <t>UNIT B2-ADA GRAND TOTAL</t>
        </is>
      </c>
      <c r="B18" s="25" t="n"/>
      <c r="C18" s="25" t="n"/>
      <c r="D18" s="25" t="n"/>
      <c r="E18" s="25" t="n"/>
      <c r="F18" s="25" t="n"/>
      <c r="G18" s="25" t="n"/>
      <c r="H18" s="33" t="n">
        <v>0</v>
      </c>
      <c r="I18" s="25" t="n"/>
      <c r="J18" s="2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2026-06-18T15:40:10Z</dcterms:created>
  <dcterms:modified xmlns:dcterms="http://purl.org/dc/terms/" xmlns:xsi="http://www.w3.org/2001/XMLSchema-instance" xsi:type="dcterms:W3CDTF">2026-06-18T15:40:10Z</dcterms:modified>
</cp:coreProperties>
</file>